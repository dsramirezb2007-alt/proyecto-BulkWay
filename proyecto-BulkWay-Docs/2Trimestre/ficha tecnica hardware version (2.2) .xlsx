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rre admin" sheetId="1" r:id="rId4"/>
    <sheet state="visible" name="Monitor Admin" sheetId="2" r:id="rId5"/>
    <sheet state="visible" name="Disco Sólido Admin" sheetId="3" r:id="rId6"/>
    <sheet state="visible" name="Disco duro interno Admin" sheetId="4" r:id="rId7"/>
    <sheet state="visible" name="Servidor Admin" sheetId="5" r:id="rId8"/>
    <sheet state="visible" name="RAM Admin" sheetId="6" r:id="rId9"/>
    <sheet state="visible" name="Teclado Admin" sheetId="7" r:id="rId10"/>
    <sheet state="visible" name="Equipo Portátil Desarrolladores" sheetId="8" r:id="rId11"/>
    <sheet state="visible" name="Monitor desarrolladoress" sheetId="9" r:id="rId12"/>
    <sheet state="visible" name="Disco mecanico Admin " sheetId="10" r:id="rId13"/>
    <sheet state="visible" name="Monitor Desarrolladores" sheetId="11" r:id="rId14"/>
    <sheet state="visible" name=" Servidor Desarrolladores" sheetId="12" r:id="rId15"/>
    <sheet state="visible" name="RAM Desarrolladores" sheetId="13" r:id="rId16"/>
    <sheet state="visible" name="Tarjeta de video Desarrolladore" sheetId="14" r:id="rId17"/>
    <sheet state="visible" name="Procesador Desarrolladores" sheetId="15" r:id="rId18"/>
    <sheet state="visible" name="Teclado Desarrolladores" sheetId="16" r:id="rId19"/>
    <sheet state="visible" name="Mouse Desarrolladorez+s" sheetId="17" r:id="rId20"/>
    <sheet state="visible" name="software licencia" sheetId="18" r:id="rId21"/>
    <sheet state="visible" name="licencia visual" sheetId="19" r:id="rId22"/>
    <sheet state="visible" name="licencia SQL" sheetId="20" r:id="rId23"/>
    <sheet state="visible" name="precio total" sheetId="21" r:id="rId24"/>
  </sheets>
  <definedNames/>
  <calcPr/>
  <extLst>
    <ext uri="GoogleSheetsCustomDataVersion2">
      <go:sheetsCustomData xmlns:go="http://customooxmlschemas.google.com/" r:id="rId25" roundtripDataChecksum="X6kHm66g6menML4CZKbW8vT96iV0YEn9ZX9E3mPstgw="/>
    </ext>
  </extLst>
</workbook>
</file>

<file path=xl/sharedStrings.xml><?xml version="1.0" encoding="utf-8"?>
<sst xmlns="http://schemas.openxmlformats.org/spreadsheetml/2006/main" count="710" uniqueCount="376">
  <si>
    <t>CUADRO DE COTIZACIONES</t>
  </si>
  <si>
    <t xml:space="preserve">Cuadro Comparativo de Cotizaciones </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</si>
  <si>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</si>
  <si>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</si>
  <si>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</si>
  <si>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</si>
  <si>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</si>
  <si>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</si>
  <si>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</si>
  <si>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</si>
  <si>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</si>
  <si>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</si>
  <si>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Precio más bajo</t>
  </si>
  <si>
    <t>Promedio</t>
  </si>
  <si>
    <t>Precio más alto</t>
  </si>
  <si>
    <t>Nº 1</t>
  </si>
  <si>
    <t>Acquire.com</t>
  </si>
  <si>
    <t>https://help.acquire.com/how-much-does-it-cost-to-sell?utm_source=</t>
  </si>
  <si>
    <t>Ideal si buscas negocios SaaS o sitios con ingresos recurrentes comprobables</t>
  </si>
  <si>
    <t>$ 3 276 000 </t>
  </si>
  <si>
    <t>$ 3 900 000</t>
  </si>
  <si>
    <t>Contado</t>
  </si>
  <si>
    <t>premiun</t>
  </si>
  <si>
    <t xml:space="preserve">Nº2 </t>
  </si>
  <si>
    <t>CounterX</t>
  </si>
  <si>
    <t>https://www.counterx.io/pricing?utm_source=</t>
  </si>
  <si>
    <t>Permite listar y explorar sitios web y activos digitales sin pagar comisión por cierre</t>
  </si>
  <si>
    <t xml:space="preserve">   $  195 000 COP     </t>
  </si>
  <si>
    <t>Requiere algo de experiencia para evaluar bien cada activo</t>
  </si>
  <si>
    <t>Nº 3</t>
  </si>
  <si>
    <t>Flippa</t>
  </si>
  <si>
    <t>https://todaytesting.com/flippa-vs-acquire-comparison-buy-sell-online-businesses-2025/?utm_source=</t>
  </si>
  <si>
    <t>Mayor cantidad de listados para websites, apps y proyectos pequeños</t>
  </si>
  <si>
    <t>$ 420 000</t>
  </si>
  <si>
    <t>$ 500 000 COP</t>
  </si>
  <si>
    <t>Puede haber muchos sitios “ruido” o publicidad de baja calidad</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</si>
  <si>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</si>
  <si>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</si>
  <si>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Empresa</t>
    </r>
    <r>
      <rPr>
        <rFont val="Arial"/>
        <b val="0"/>
        <i/>
        <color theme="1"/>
        <sz val="10.0"/>
      </rPr>
      <t xml:space="preserve">
(Nombre fiscal de la empresa)</t>
    </r>
  </si>
  <si>
    <r>
      <rPr>
        <rFont val="Arial"/>
        <b/>
        <color theme="1"/>
        <sz val="10.0"/>
      </rPr>
      <t>Nº de CUIT, Dirección, Teléfono</t>
    </r>
    <r>
      <rPr>
        <rFont val="Arial"/>
        <b val="0"/>
        <i/>
        <color theme="1"/>
        <sz val="10.0"/>
      </rPr>
      <t xml:space="preserve">
(Datos de la empresa)</t>
    </r>
  </si>
  <si>
    <r>
      <rPr>
        <rFont val="Arial"/>
        <b/>
        <color theme="1"/>
        <sz val="10.0"/>
      </rPr>
      <t>Descripción del
bien/ servicio (b)</t>
    </r>
    <r>
      <rPr>
        <rFont val="Arial"/>
        <b val="0"/>
        <i/>
        <color theme="1"/>
        <sz val="10.0"/>
      </rPr>
      <t xml:space="preserve">
Características de los bienes/ servicios</t>
    </r>
  </si>
  <si>
    <r>
      <rPr>
        <rFont val="Arial"/>
        <b/>
        <color theme="1"/>
        <sz val="10.0"/>
      </rPr>
      <t xml:space="preserve">Importe Unitario
</t>
    </r>
    <r>
      <rPr>
        <rFont val="Arial"/>
        <b val="0"/>
        <i/>
        <color theme="1"/>
        <sz val="10.0"/>
      </rPr>
      <t>(moneda nacional)</t>
    </r>
  </si>
  <si>
    <r>
      <rPr>
        <rFont val="Arial"/>
        <b/>
        <color theme="1"/>
        <sz val="10.0"/>
        <u/>
      </rPr>
      <t xml:space="preserve">Importe Total
 IVA incluido
</t>
    </r>
    <r>
      <rPr>
        <rFont val="Arial"/>
        <b val="0"/>
        <i/>
        <color theme="1"/>
        <sz val="10.0"/>
        <u/>
      </rPr>
      <t>(moneda nacional)</t>
    </r>
  </si>
  <si>
    <r>
      <rPr>
        <rFont val="Arial"/>
        <b/>
        <color theme="1"/>
        <sz val="10.0"/>
      </rPr>
      <t xml:space="preserve">Importe Total
</t>
    </r>
    <r>
      <rPr>
        <rFont val="Arial"/>
        <b val="0"/>
        <i/>
        <color theme="1"/>
        <sz val="10.0"/>
      </rPr>
      <t>(moneda extranjera)</t>
    </r>
  </si>
  <si>
    <r>
      <rPr>
        <rFont val="Arial"/>
        <b/>
        <color theme="1"/>
        <sz val="10.0"/>
      </rPr>
      <t xml:space="preserve">Forma de Pago 
</t>
    </r>
    <r>
      <rPr>
        <rFont val="Arial"/>
        <b val="0"/>
        <i/>
        <color theme="1"/>
        <sz val="10.0"/>
      </rPr>
      <t>(Contado o Cheque)</t>
    </r>
  </si>
  <si>
    <r>
      <rPr>
        <rFont val="Arial"/>
        <b/>
        <color theme="1"/>
        <sz val="10.0"/>
      </rPr>
      <t xml:space="preserve">Observaciones </t>
    </r>
    <r>
      <rPr>
        <rFont val="Arial"/>
        <b val="0"/>
        <i/>
        <color theme="1"/>
        <sz val="10.0"/>
      </rPr>
      <t xml:space="preserve">
(se debe incluir toda aquella característica que no ha sido posible incluir anteriormente)</t>
    </r>
  </si>
  <si>
    <t>AOC</t>
  </si>
  <si>
    <t>https://co.todosnegocios.com/lg-electronics-colombia-oficinas-1-3907959#google_vignette</t>
  </si>
  <si>
    <t>colores
1920 × 1080 (FHD)
120Hz
1 ms
Sincronización adaptativa
IPS
Sin marco de 3 lados</t>
  </si>
  <si>
    <t>CONTADO</t>
  </si>
  <si>
    <t>24" Full HD
120Hz (más fluido)
Mejor calidad de imagen</t>
  </si>
  <si>
    <t>LG</t>
  </si>
  <si>
    <t>https://www.lg.com/co/Privacy_back/?utm_source</t>
  </si>
  <si>
    <t>Resolución Full HD para imágenes nítidas y realistas en cada uso
Tasa de 120Hz y 1ms MBR para transiciones más fluidas y rápidas
Diseño sin bordes en 4 lados para mayor inmersión visual
HDR10 y sRGB 99% (Típ.) para colores vivos y precisos
Diseño ergonómico con inclinación ajustable de -5° a 20°
Dynamic Action Sync y Black Stabilizer para juegos sin límites</t>
  </si>
  <si>
    <t>ASUS</t>
  </si>
  <si>
    <t>https://co.todosnegocios.com/lg-electronics-colombia-oficinas-1-3907959</t>
  </si>
  <si>
    <t>Tamaño de pantalla: 24.5 pulgadas
Tipo de panel: IPS (in-plane switching) – colores más reales y consistentes
Resolución máxima: Full HD 1920 x 1080
Relación de aspecto: 16:9
Frecuencia de actualización: 120 Hz – fluidez excepcional en movimiento</t>
  </si>
  <si>
    <t>Mejor calidad de imagen</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</si>
  <si>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</si>
  <si>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</si>
  <si>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</si>
  <si>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</si>
  <si>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</si>
  <si>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</si>
  <si>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</si>
  <si>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</si>
  <si>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</si>
  <si>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</si>
  <si>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Samsung</t>
  </si>
  <si>
    <t>https://www.samsung.com/co/support/contact/</t>
  </si>
  <si>
    <t>Samsung T7 SSD portátil, unidad externa de estado sólido de 1 TB, velocidades de hasta 1,050 MB/s, USB 3.2 Gen 2, almacenamiento confiable para juegos, estudiantes,</t>
  </si>
  <si>
    <t> 996.959</t>
  </si>
  <si>
    <t> 1.185.207</t>
  </si>
  <si>
    <t>2,182,166</t>
  </si>
  <si>
    <t xml:space="preserve">CONTADO </t>
  </si>
  <si>
    <t>Gran rendimiento sostenido y excelentes velocidades de lectura/escritura.
Requiere ranura M.2 NVMe. Amplia compatibilidad con PCs modernas.</t>
  </si>
  <si>
    <t>Kingston</t>
  </si>
  <si>
    <t>https://www.kingston.com/es/support/global-contacts</t>
  </si>
  <si>
    <t>SSD SATA 2.5" compatible con la mayoría de laptops y PCs para mejorar velocidad de arranque y transferencia de datos significativamente respecto a un HDD.</t>
  </si>
  <si>
    <t>Con velocidades de lectura y escritura sostenidas de hasta 3500/3000 MB por segundo, iluminación RGB personalizable y una gran cantidad de características que mejoran el rendimiento</t>
  </si>
  <si>
    <t>Crucial (Micron)</t>
  </si>
  <si>
    <t>https://www.crucial.com/support/contact</t>
  </si>
  <si>
    <t>Crucial Pro RAM DDR5 32GB (2x16GB) 6400MHz CL32, Overclocking Gaming, Memoria de Ordenador de Sobrem...</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</si>
  <si>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</si>
  <si>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</si>
  <si>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</si>
  <si>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</si>
  <si>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</si>
  <si>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</si>
  <si>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</si>
  <si>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</si>
  <si>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</si>
  <si>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</si>
  <si>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Western Digital Purple</t>
  </si>
  <si>
    <t>https://www.westerndigital.com/es-la/company/contact-us?utm_source</t>
  </si>
  <si>
    <t>e 8TB WD84PURZ 3.5" 5400RPM SATA lll 6Gbit/s Caché 128MB para Videovigilancia</t>
  </si>
  <si>
    <t>Capacidad: 8 TB.
HDD de 8TB con interface SATA III para rápida transferencia de datos.
Velocidad de rotación de 5400 RPM para un rendimiento óptimo.
Caché de 128 MB que mejora la eficiencia en la lectura y escritura.
Diseñado específicamente para sistemas de videovigilancia.
Compatibilidad con sistemas operativos Windows y MacOS.
Factor de forma de 3.5" i</t>
  </si>
  <si>
    <t>Hiksemi</t>
  </si>
  <si>
    <t>https://www.hiksemitech.com/es/hiksemi.html</t>
  </si>
  <si>
    <t>Este producto es un disco SSD de la marca Hiksemi, reconocida por su calidad y rendimiento. El modelo específico es el HS-SSD-WAVE(S)(STD)/512G/SATA/WW, parte de la línea WAVE SSD SATA 3.0, que se caracteriza por su alta velocidad y eficiencia. Cuenta con una capacidad de almacenamiento de 512GB, lo que permite guardar una gran cantidad de archivos y programas. Su velocidad máxima de lectura es de 530 mbs y su velocidad máxima de escritura es de 450 mbs, lo que garantiza un rendimiento rápido y fluido. El factor de forma es de 2.5", lo que lo hace compacto y fácil de instalar. Además, es un disco interno, lo que significa que se instala dentro de la computadora, mejorando así el rendimiento general del sistema. Utiliza la interfaz SATA III, conocida por su alta velocidad y fiabilidad. La tecnología de almacenamiento es SSD, que es más rápida y duradera que los discos duros tradicionales. En resumen, este disco SSD Hiksemi de 512GB es una excelente opción para mejorar el rendimiento de tu computadora.</t>
  </si>
  <si>
    <t>Capacidad: 512 GB.
Disco SSD con velocidad de lectura de 530 MB/s.
Velocidad de escritura de 450 MB/s.
Interfaz SATA III para alta velocidad.
Factor de forma de 2.5" para fácil instalación.
Resistente al agua y al polvo para mayor durabilidad.
Compatible con sistemas operativos Linux y Windows 10 Pro.</t>
  </si>
  <si>
    <t>Toshiba</t>
  </si>
  <si>
    <t>https://www.global.toshiba/ww/top.html</t>
  </si>
  <si>
    <t xml:space="preserve">
Capacidad: 6 TB
Factor de forma: 3.5 "
Velocidad de rotación: 5400 rpm
Interfaces: SATA</t>
  </si>
  <si>
    <t>Almacena grandes cantidades de datos con su capacidad de 6 TB.
Unidad de escritorio externa.
Adecuado para guardar los mejores juegos y archivos de tu consola.
Tamaño 3.5.</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</si>
  <si>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</si>
  <si>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</si>
  <si>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</si>
  <si>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</si>
  <si>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</si>
  <si>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</si>
  <si>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</si>
  <si>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</si>
  <si>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</si>
  <si>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</si>
  <si>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*Apache HTTP Server</t>
  </si>
  <si>
    <t>No tiene CUIT como empresa</t>
  </si>
  <si>
    <t>Apache es un servidor web que entrega contenido a través del protocolo HTTP/HTTPS, es decir, sirve páginas web a los navegadores y aplicacione</t>
  </si>
  <si>
    <t>x</t>
  </si>
  <si>
    <t>No hay costo de licencia; solo pagas por el servidor físico o virtual donde lo instales (hosting o VPS)</t>
  </si>
  <si>
    <t>Nginx</t>
  </si>
  <si>
    <t>https://www.f5.com/</t>
  </si>
  <si>
    <t>Nginx es un servidor web y proxy inverso que entrega contenido web (HTTP/HTTPS), puede actuar como balanceador de carga y cache, y maneja muchas conexiones simultáneas con bajo uso de recursos</t>
  </si>
  <si>
    <t>Si quieres soporte profesional o funciones avanzadas, tendrías que pagar por Nginx Plus o servicios gestionados</t>
  </si>
  <si>
    <t>Microsoft Internet Information Services (IIS)</t>
  </si>
  <si>
    <t>https://www.microsoft.com</t>
  </si>
  <si>
    <t>IIS es un servidor web y servidor de servicios de red que soporta HTTP, HTTPS, FTP y más, integrado en Windows.
Está diseñado principalmente para aplicaciones de Microsoft (.NET, ASP.NET) y se usa en entornos Windows empresariales.</t>
  </si>
  <si>
    <t xml:space="preserve">x  </t>
  </si>
  <si>
    <t>El costo de licencia de IIS no es independiente; depende de la licencia de Windows Server que compres.
En proyectos empresariales suele incluirse el costo de Windows Server + CAL (licencias de acceso de cliente).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</si>
  <si>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</si>
  <si>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</si>
  <si>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</si>
  <si>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</si>
  <si>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</si>
  <si>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</si>
  <si>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</si>
  <si>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</si>
  <si>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</si>
  <si>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</si>
  <si>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DATOTEK</t>
  </si>
  <si>
    <t>https://www.datotek.co/</t>
  </si>
  <si>
    <t>64GB Kit 32GBx2 Desktop RAM 5600MHz PC5-44800 CL46 1.1V 288-Pin Non-ECC Unbuffered dimm, módulo de memoria de escritorio</t>
  </si>
  <si>
    <t>DR5 PC5600 UDIMM conjunto de 32 GB x 2 PCS para escritorio
Rendimiento increíblemente rápido: Actualice a DDR5 5600MHz para velocidades de transferencia de datos más rápidas que DDR5 estándar. Disfruta de juegos más suaves, multitarea y tiempos de carga más rápidos.
Gestión de energía eficiente: Nuestra memoria DDR5 ofrece una gestión avanzada de la energía, utilizando menos energía que DDR4. Disfruta de una mayor duración de la batería y un rendimiento eficiente todo el día.
Bajo voltaje optimizado: disfrute de una eficiencia energética de vanguardia con un voltaje de funcionamiento de 1.1 V, reduciendo el consumo de energía para un rendimiento más frío y duradero sin comprometer la velocidad o la fiabilidad.</t>
  </si>
  <si>
    <t>Gigastone</t>
  </si>
  <si>
    <t>https://www.gigastone.com/en</t>
  </si>
  <si>
    <t>amaño de la memoria de la computadora	32 GB
Tecnología de memoria RAM	DDR4
Velocidad de memoria	3200 MHz
Dispositivos compatibles	Computadora de Escritorio</t>
  </si>
  <si>
    <t>3200 MHz</t>
  </si>
  <si>
    <t>CORSAIR</t>
  </si>
  <si>
    <t>https://www.corsair.com/lm/es</t>
  </si>
  <si>
    <t>Tamaño de la memoria de la computadora	32 GB
Tecnología de memoria RAM	DDR5
Velocidad de memoria	6000 MHz
Dispositivos compatibles	Computadora de Escritorio</t>
  </si>
  <si>
    <t>6000 MHz</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</si>
  <si>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</si>
  <si>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</si>
  <si>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</si>
  <si>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</si>
  <si>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</si>
  <si>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</si>
  <si>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</si>
  <si>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</si>
  <si>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</si>
  <si>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</si>
  <si>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Logitech</t>
  </si>
  <si>
    <t>https://www.logitech.com/es-mx</t>
  </si>
  <si>
    <t>ingresar datos y comandos a la computadora, permitiendo escribir texto, ejecutar acciones y controlar programas</t>
  </si>
  <si>
    <t>Sensor de alta precisión</t>
  </si>
  <si>
    <t>Rk Royal Kludge</t>
  </si>
  <si>
    <t>https://rkgamingstore.com/?srsltid=AfmBOooNC0_zNAfxVUWYYtHW9C5PpxwQ33aoqDifqT_HpfMEhShmXOqm</t>
  </si>
  <si>
    <t>ATK</t>
  </si>
  <si>
    <t>https://www.atk.store/es?ref=DUB25&amp;gad_source=1&amp;gad_campaignid=22102742066&amp;gbraid=0AAAAA-La6S8fEc-LJUidCww--eIKC1saE&amp;gclid=Cj0KCQjwmunNBhDbARIsAOndKplfd1RQqo9KCBDaKp95RjVT63kI4SnMs-0zS6Oj41hWpRD0Z-sVmzgaAmcIEALw_wcB</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</si>
  <si>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</si>
  <si>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</si>
  <si>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</si>
  <si>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</si>
  <si>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</si>
  <si>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</si>
  <si>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</si>
  <si>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</si>
  <si>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</si>
  <si>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</si>
  <si>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Mac center</t>
  </si>
  <si>
    <t>https://mac-center.com/pages/ofertas-mac-center?utm_source=sem&amp;utm_medium=cpa&amp;utm_campaign=pure_brand_marca_oferta&amp;utm_term=rmkt-lkl-advantage&amp;utm_content=text-admarcamultiaudiencia&amp;gad_source=1&amp;gad_campaignid=23414547318&amp;gbraid=0AAAAAoKyMF_6vuumq1dpmo2YkWgW3jNkR&amp;gclid=Cj0KCQjwmunNBhDbARIsAOndKpk1Ofqg2JB4z6XG93TlBn_7kJAI-kWxhQbGKM8MfljpjkvstMsPD5IaAtOPEALw_wcB</t>
  </si>
  <si>
    <t>computadora que puedes mover fácilmente, como una laptop (notebook), diseñada para usarse en diferentes lugares sin estar fija en un sitio</t>
  </si>
  <si>
    <t>ProcesadorChip M4 de Apple con CPU de 10 núcleos y GPU de 8 núcleosChip M4 de Apple con CPU de 10 núcleos y GPU de 10 núcleosMemoria16GB24GB</t>
  </si>
  <si>
    <t xml:space="preserve">Asus Vivobook </t>
  </si>
  <si>
    <t>https://www.asus.com/</t>
  </si>
  <si>
    <t>Escudo de privacidad de la cámara WEB física</t>
  </si>
  <si>
    <t>LENOVO</t>
  </si>
  <si>
    <t>https://www.lenovo.com/co/es/?orgRef=https%253A%252F%252Fchatgpt.com%252F</t>
  </si>
  <si>
    <t>HP Fast Charge. Carga de 0 a 50% en aproximadamente 45 min</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</si>
  <si>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</si>
  <si>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</si>
  <si>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Empresa</t>
    </r>
    <r>
      <rPr>
        <rFont val="Arial"/>
        <b val="0"/>
        <i/>
        <color theme="1"/>
        <sz val="10.0"/>
      </rPr>
      <t xml:space="preserve">
(Nombre fiscal de la empresa)</t>
    </r>
  </si>
  <si>
    <r>
      <rPr>
        <rFont val="Arial"/>
        <b/>
        <color theme="1"/>
        <sz val="10.0"/>
      </rPr>
      <t>Nº de CUIT, Dirección, Teléfono</t>
    </r>
    <r>
      <rPr>
        <rFont val="Arial"/>
        <b val="0"/>
        <i/>
        <color theme="1"/>
        <sz val="10.0"/>
      </rPr>
      <t xml:space="preserve">
(Datos de la empresa)</t>
    </r>
  </si>
  <si>
    <r>
      <rPr>
        <rFont val="Arial"/>
        <b/>
        <color theme="1"/>
        <sz val="10.0"/>
      </rPr>
      <t>Descripción del
bien/ servicio (b)</t>
    </r>
    <r>
      <rPr>
        <rFont val="Arial"/>
        <b val="0"/>
        <i/>
        <color theme="1"/>
        <sz val="10.0"/>
      </rPr>
      <t xml:space="preserve">
Características de los bienes/ servicios</t>
    </r>
  </si>
  <si>
    <r>
      <rPr>
        <rFont val="Arial"/>
        <b/>
        <color theme="1"/>
        <sz val="10.0"/>
      </rPr>
      <t xml:space="preserve">Importe Unitario
</t>
    </r>
    <r>
      <rPr>
        <rFont val="Arial"/>
        <b val="0"/>
        <i/>
        <color theme="1"/>
        <sz val="10.0"/>
      </rPr>
      <t>(moneda nacional)</t>
    </r>
  </si>
  <si>
    <r>
      <rPr>
        <rFont val="Arial"/>
        <b/>
        <color theme="1"/>
        <sz val="10.0"/>
        <u/>
      </rPr>
      <t xml:space="preserve">Importe Total
 IVA incluido
</t>
    </r>
    <r>
      <rPr>
        <rFont val="Arial"/>
        <b val="0"/>
        <i/>
        <color theme="1"/>
        <sz val="10.0"/>
        <u/>
      </rPr>
      <t>(moneda nacional)</t>
    </r>
  </si>
  <si>
    <r>
      <rPr>
        <rFont val="Arial"/>
        <b/>
        <color theme="1"/>
        <sz val="10.0"/>
      </rPr>
      <t xml:space="preserve">Importe Total
</t>
    </r>
    <r>
      <rPr>
        <rFont val="Arial"/>
        <b val="0"/>
        <i/>
        <color theme="1"/>
        <sz val="10.0"/>
      </rPr>
      <t>(moneda extranjera)</t>
    </r>
  </si>
  <si>
    <r>
      <rPr>
        <rFont val="Arial"/>
        <b/>
        <color theme="1"/>
        <sz val="10.0"/>
      </rPr>
      <t xml:space="preserve">Forma de Pago 
</t>
    </r>
    <r>
      <rPr>
        <rFont val="Arial"/>
        <b val="0"/>
        <i/>
        <color theme="1"/>
        <sz val="10.0"/>
      </rPr>
      <t>(Contado o Cheque)</t>
    </r>
  </si>
  <si>
    <r>
      <rPr>
        <rFont val="Arial"/>
        <b/>
        <color theme="1"/>
        <sz val="10.0"/>
      </rPr>
      <t xml:space="preserve">Observaciones </t>
    </r>
    <r>
      <rPr>
        <rFont val="Arial"/>
        <b val="0"/>
        <i/>
        <color theme="1"/>
        <sz val="10.0"/>
      </rPr>
      <t xml:space="preserve">
(se debe incluir toda aquella característica que no ha sido posible incluir anteriormente)</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</si>
  <si>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</si>
  <si>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</si>
  <si>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</si>
  <si>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</si>
  <si>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</si>
  <si>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</si>
  <si>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</si>
  <si>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</si>
  <si>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</si>
  <si>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</si>
  <si>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</si>
  <si>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</si>
  <si>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Empresa</t>
    </r>
    <r>
      <rPr>
        <rFont val="Arial"/>
        <b val="0"/>
        <i/>
        <color theme="1"/>
        <sz val="10.0"/>
      </rPr>
      <t xml:space="preserve">
(Nombre fiscal de la empresa)</t>
    </r>
  </si>
  <si>
    <r>
      <rPr>
        <rFont val="Arial"/>
        <b/>
        <color theme="1"/>
        <sz val="10.0"/>
      </rPr>
      <t>Nº de CUIT, Dirección, Teléfono</t>
    </r>
    <r>
      <rPr>
        <rFont val="Arial"/>
        <b val="0"/>
        <i/>
        <color theme="1"/>
        <sz val="10.0"/>
      </rPr>
      <t xml:space="preserve">
(Datos de la empresa)</t>
    </r>
  </si>
  <si>
    <r>
      <rPr>
        <rFont val="Arial"/>
        <b/>
        <color theme="1"/>
        <sz val="10.0"/>
      </rPr>
      <t>Descripción del
bien/ servicio (b)</t>
    </r>
    <r>
      <rPr>
        <rFont val="Arial"/>
        <b val="0"/>
        <i/>
        <color theme="1"/>
        <sz val="10.0"/>
      </rPr>
      <t xml:space="preserve">
Características de los bienes/ servicios</t>
    </r>
  </si>
  <si>
    <r>
      <rPr>
        <rFont val="Arial"/>
        <b/>
        <color theme="1"/>
        <sz val="10.0"/>
      </rPr>
      <t xml:space="preserve">Importe Unitario
</t>
    </r>
    <r>
      <rPr>
        <rFont val="Arial"/>
        <b val="0"/>
        <i/>
        <color theme="1"/>
        <sz val="10.0"/>
      </rPr>
      <t>(moneda nacional)</t>
    </r>
  </si>
  <si>
    <r>
      <rPr>
        <rFont val="Arial"/>
        <b/>
        <color theme="1"/>
        <sz val="10.0"/>
        <u/>
      </rPr>
      <t xml:space="preserve">Importe Total
 IVA incluido
</t>
    </r>
    <r>
      <rPr>
        <rFont val="Arial"/>
        <b val="0"/>
        <i/>
        <color theme="1"/>
        <sz val="10.0"/>
        <u/>
      </rPr>
      <t>(moneda nacional)</t>
    </r>
  </si>
  <si>
    <r>
      <rPr>
        <rFont val="Arial"/>
        <b/>
        <color theme="1"/>
        <sz val="10.0"/>
      </rPr>
      <t xml:space="preserve">Importe Total
</t>
    </r>
    <r>
      <rPr>
        <rFont val="Arial"/>
        <b val="0"/>
        <i/>
        <color theme="1"/>
        <sz val="10.0"/>
      </rPr>
      <t>(moneda extranjera)</t>
    </r>
  </si>
  <si>
    <r>
      <rPr>
        <rFont val="Arial"/>
        <b/>
        <color theme="1"/>
        <sz val="10.0"/>
      </rPr>
      <t xml:space="preserve">Forma de Pago 
</t>
    </r>
    <r>
      <rPr>
        <rFont val="Arial"/>
        <b val="0"/>
        <i/>
        <color theme="1"/>
        <sz val="10.0"/>
      </rPr>
      <t>(Contado o Cheque)</t>
    </r>
  </si>
  <si>
    <r>
      <rPr>
        <rFont val="Arial"/>
        <b/>
        <color theme="1"/>
        <sz val="10.0"/>
      </rPr>
      <t xml:space="preserve">Observaciones </t>
    </r>
    <r>
      <rPr>
        <rFont val="Arial"/>
        <b val="0"/>
        <i/>
        <color theme="1"/>
        <sz val="10.0"/>
      </rPr>
      <t xml:space="preserve">
(se debe incluir toda aquella característica que no ha sido posible incluir anteriormente)</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</si>
  <si>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</si>
  <si>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</si>
  <si>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</si>
  <si>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</si>
  <si>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</si>
  <si>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</si>
  <si>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</si>
  <si>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</si>
  <si>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</si>
  <si>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</si>
  <si>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</si>
  <si>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</si>
  <si>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</si>
  <si>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</si>
  <si>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</si>
  <si>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</si>
  <si>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</si>
  <si>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</si>
  <si>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</si>
  <si>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</si>
  <si>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</si>
  <si>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</si>
  <si>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</si>
  <si>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</si>
  <si>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</si>
  <si>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</si>
  <si>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</si>
  <si>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</si>
  <si>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</si>
  <si>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</si>
  <si>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La ASUS Dual GeForce RTX 4070 SUPER OC Edition es una tarjeta gráfica potente y eficiente, ideal para gamers y creadores de contenido.</t>
  </si>
  <si>
    <t>Con tecnología NVIDIA DLSS3, arco ultraeficiente de Ada Lovelace y ray tracing completo.
Tensor Cores de 4.ª generación: Hasta 4 veces más rendimiento con DLSS 3 vs. renderizado por fuerza bruta.
RT Cores de tercera generación: Rendimiento de ray tracing hasta 2x.
Edición OC: Boost Clock 2550 MHz (modo OC)/ 2520 MHz (modo default).
El diseño del ventilador de Axial-tech presenta un cubo de ventilador más pequeño que facilita aspas más largas y un anillo de barrera que aumenta la presión del aire hacia abajo.
Un diseño de ranuras de 2.56 maximiza la compatibilidad y la eficiencia de refrigeración para un rendimiento superior en chasis pequeños.
La tecnología 0dB te permite disfrutar de juegos ligeros en relativo silencio.
Los baleros de ventilador de bolas dobles pueden durar hasta el doble que los diseños con baleros tipo sleeve.
Fabricación automatizada de precisión Auto-Extreme para una mayor confiabilidad.</t>
  </si>
  <si>
    <t>ASROCK</t>
  </si>
  <si>
    <t>Tarjeta Grafica Amd Radeontm Rx 9060 Xt Challenger 16gb Oc</t>
  </si>
  <si>
    <t>Compatibilidad con Microsoft® DirectX™ 12</t>
  </si>
  <si>
    <t>GIGABYTE</t>
  </si>
  <si>
    <t>XFX Speedster QICK308 Radeon RX 6600 XT Black Gaming Graphics Card with 8GB GDDR6 HDMI 3xDP, AMD RDNA 2 RX-66XT8LBDQ</t>
  </si>
  <si>
    <t>Gigabyte Radeon RX 7600 GAMING OC 8G.
Familia de procesadores de gráficos:AMD, Procesador gráfico:Radeon RX 7600, Frecuencia del procesador:2355 MHz.
Capacidad memoria de adaptador gráfico:8 GB, Tipo de memoria de adaptador gráfico:GDDR6, Ancho de datos:128 bit.
Máxima resolución:7680 x 4320 Pixeles.
Versión DirectX:12 Ultimate, Versión OpenGL:4.6.
Tipo de interfaz:PCI Express 4.0.
Tipo de enfriamiento:Activo, Número de ventiladores:3 Ventilador(es), Iluminación de color:Multi.
Especificaciones:-Familia de procesadores de gráficos:AMD.
-Procesador gráfico:Radeon RX 7600.
-Máxima resolución:7680 x 4320 Pixeles.
-CUDA:No.
-Frecuencia del procesador:2355 MHz.
-Máximas pantallas por tarjeta de video:4.
-Aumento de la velocidad de reloj del procesador:2755 MHz.
-Procesadores de corriente:2048.
-Memoria gráfica:8 GB.
-Tipo de memoria:GDDR6.
-Ancho de datos:128 bit.
-Sistema operativo Windows soportado:Windows 10 x64, Windows 11 x64.
-Tipo de interfaz:PCI Express 2.0.
-Puertos HDMI:2.
-DisplayPort:2.
-Versión HDMI:2.1a.
-Versión de DisplayPort:1.4a.
-Número de puertos USB Tipo C:1.
-Profundidad:287 mm.
-Altura:50 mm.
-Ancho:115 mm.
-Suministro de energía al sistema mínimo:550 W.
-Conectores de energia suplementario:1x 8-pin.
-Manual de usuario:Si.
-Tipo de embalaje:Caja.
-Tipo de enfriamiento:Activo.
-Número de ventiladores:3 Ventilador(es).
-Tecnología de enfriamiento:GIGABYTE WINDFORCE 3X.
-Color del producto:Negro.
-Factor de forma:Full-Height/Full-Length (FH/FL).
-Bracket height:Full-Height (FH).
-Iluminación:Si.
-Iluminación de color:Multi.
-Sintonizador de TV integrado:No.
-Versión DirectX:1‎2 Ultimate.
-Versión OpenGL:4.6.
-Dual Link DVI:No.
-AMD FreeSync:Si.X</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</si>
  <si>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</si>
  <si>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</si>
  <si>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</si>
  <si>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</si>
  <si>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</si>
  <si>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</si>
  <si>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</si>
  <si>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</si>
  <si>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</si>
  <si>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</si>
  <si>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Precio más altor</t>
  </si>
  <si>
    <t>Precio mas bajo</t>
  </si>
  <si>
    <t>Intel Core</t>
  </si>
  <si>
    <t>Procesador Intel Core i5-12600K – Alder Lake 10-Core 3.7 GHz – Socket LGA 1700 – 125W</t>
  </si>
  <si>
    <t>El Intel Core i5-12600K integra 10 núcleos (6P + 4E) y 16 hilos con frecuencia base de 3.7 GHz y turbo de hasta 4.9 GHz, ofreciendo un rendimiento sobresaliente en gaming y creación. Basado en Alder Lake (Intel 7), suma 20 MB de caché L3 y 9.5 MB de caché L2, compatibilidad con DDR5/DDR4 y PCIe 5.0. Incorpora Intel UHD Graphics 770 con frecuencia dinámica de hasta 1.45 GHz. Con Processor Base Power de 125 W y al ser serie K, no incluye disipador, ideal para configuraciones con refrigeración dedicada.</t>
  </si>
  <si>
    <t>AMD Ryzen</t>
  </si>
  <si>
    <t>Procesador AMD Ryzen 5 8600G 6 Nucleos AM5 Grafica 760M</t>
  </si>
  <si>
    <t># de núcleos de CPU: 6\n # de hilos: 12\n Reloj base: 4.3 GHz\n Reloj de aumento máx.: Hasta 5.0 GHz\n \nAMD Ryzen&amp;#x2122; AI - Available</t>
  </si>
  <si>
    <t>12 GEN
– Socket  LGA1700
– 20 Hilos
– L2 CACHE 12MB
– L3 Cache 25MB
– 7nm
– Potencia de Diseño Térmico 125W
– NO INCLUYE DISIPADOR</t>
  </si>
  <si>
    <t>Cantidad de Performance-cores
8
Cantidad de Efficient-cores
4
Total de subprocesos 
20
Frecuencia turbo máxima 
5.00 GHz
Frecuencia de la Tecnología Intel® Turbo Boost Max 3.0 ‡ 
5.00 GHz
Frecuencia turbo máxima del Performance-core 
4.90 GHz
Frecuencia turbo máxima de Efficient-core 
3.80 GHz
Frecuencia base de Performance-core 
3.60 GHz
Frecuencia base de Efficient-core 
2.70 GHz
Caché 
25 MB Intel® Smart Cache
Caché L2 total
12 MB
Potencia base del procesador 
125 W
Potencia turbo máxima 
190 W</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</si>
  <si>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</si>
  <si>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</si>
  <si>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</si>
  <si>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</si>
  <si>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</si>
  <si>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</si>
  <si>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</si>
  <si>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</si>
  <si>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</si>
  <si>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</si>
  <si>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precio más bajo</t>
  </si>
  <si>
    <t xml:space="preserve">FALABELLA </t>
  </si>
  <si>
    <t>https://www.falabella.com.co/falabella-co/product/3032470/Teclado-Logitech-Inalambrico-K400-Plus-con-touch-pad-para-TV.-Apto-para-TV-y-PC/3032470</t>
  </si>
  <si>
    <t>Teclado Logitech Inalámbrico K400 Plus con touch pad para TV. Apto para TV y PC</t>
  </si>
  <si>
    <t>Funciona con Windows 7, Windows 8, Windows 10 o posteriores, Android 7.0 o posteriores, Chrome OS - Puerto USB - Conexión a Internet (para descarga de software opcional)</t>
  </si>
  <si>
    <t xml:space="preserve">MERCADO LIBRE </t>
  </si>
  <si>
    <t>https://www.mercadolibre.com.co/teclado-mecanico-gamer-unitec-mk20-retroiluminado-color-del-teclado-plateado/p/MCO23026811?pdp_filters=item_id:MCO1366192149#is_advertising=true&amp;searchVariation=MCO23026811&amp;position=1&amp;search_layout=stack&amp;type=pad&amp;tracking_id=0694a9e8-3b57-4bb8-af1f-b5fae4bf605b&amp;is_advertising=true&amp;ad_domain=VQCATCORE_LST&amp;ad_position=1&amp;ad_click_id=YjRlZTZiMmUtNzVkYS00NDYyLWJjMmUtNzBmZjkzNTY3Yzlj</t>
  </si>
  <si>
    <t>Teclado Mecánico Gamer Unitec Mk20 Retroiluminado Color del teclado Plateado</t>
  </si>
  <si>
    <t>Este teclado Unitec de alto rendimiento permite que puedas disfrutar de horas ilimitadas de juegos. Está diseñado especialmente para que puedas expresar tanto tus habilidades como tu estilo. Podrás mejorar tu experiencia de gaming</t>
  </si>
  <si>
    <t xml:space="preserve">COMPULAGO </t>
  </si>
  <si>
    <t>https://www.compulago.com/producto/teclado-usb-genius-slimstar-230-multimedia-362702337905/</t>
  </si>
  <si>
    <t>TECLADO USB GENIUS SLIMSTAR 230 MULTIMEDIA</t>
  </si>
  <si>
    <t>Referencia SlimStar 230</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</si>
  <si>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</si>
  <si>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</si>
  <si>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</si>
  <si>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</si>
  <si>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</si>
  <si>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</si>
  <si>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</si>
  <si>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</si>
  <si>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</si>
  <si>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</si>
  <si>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 mover el cursor en la pantalla y seleccionar, abrir o interactuar con elementos del computador</t>
  </si>
  <si>
    <t>Posee rueda de desplazamiento.</t>
  </si>
  <si>
    <t xml:space="preserve">  Satechi</t>
  </si>
  <si>
    <t>https://satechi.com/</t>
  </si>
  <si>
    <t>Cooler Master</t>
  </si>
  <si>
    <t>https://www.coolermaster.com/es-global/products/mm712/</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</si>
  <si>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</si>
  <si>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</si>
  <si>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</si>
  <si>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</si>
  <si>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</si>
  <si>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</si>
  <si>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</si>
  <si>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</si>
  <si>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</si>
  <si>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</si>
  <si>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Microsoft Colombia</t>
  </si>
  <si>
    <t>NIT: 830.067.394-7
Bogotá, Cra 7 #71-21</t>
  </si>
  <si>
    <t>Suscripción, soporte técnico, actualizaciones</t>
  </si>
  <si>
    <t>Muy confiable, ampliamente usado, integración completa</t>
  </si>
  <si>
    <t>Adobe Systems Colombia</t>
  </si>
  <si>
    <t>NIT: 900.585.123-4
Bogotá, Calle 93 #15-60</t>
  </si>
  <si>
    <t>Suscripción mensual, actualizaciones en la nube</t>
  </si>
  <si>
    <t xml:space="preserve">Ideal para diseño </t>
  </si>
  <si>
    <t>Oracle Colombia</t>
  </si>
  <si>
    <t>NIT: 800.103.456-1
Bogotá, Av. 82 #10-62</t>
  </si>
  <si>
    <t>Licencias + soporte + cloud empresarial</t>
  </si>
  <si>
    <t>Alta seguridad, enfocado en empresas medianas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</si>
  <si>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</si>
  <si>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</si>
  <si>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</si>
  <si>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</si>
  <si>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</si>
  <si>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</si>
  <si>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</si>
  <si>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</si>
  <si>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</si>
  <si>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</si>
  <si>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Licencia Visual Studio Professional / Enterprise</t>
  </si>
  <si>
    <t>Proveedor oficial, alta confiabilidad, integración completa</t>
  </si>
  <si>
    <t>Buysoft Colombia S.A.S.</t>
  </si>
  <si>
    <t>NIT: 901.520.105-4
Bogotá, Cra 7 #71-21 Torre B</t>
  </si>
  <si>
    <t>Licencias Visual Studio por volumen</t>
  </si>
  <si>
    <t>Partner empresarial, ideal para empresas medianas</t>
  </si>
  <si>
    <t>LicenciaDigital.com.co</t>
  </si>
  <si>
    <t>no publico</t>
  </si>
  <si>
    <t>Licencias Visual Studio (perpetuas y suscripción)</t>
  </si>
  <si>
    <t>Precios competitivos, licencias verificables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</si>
  <si>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</si>
  <si>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</si>
  <si>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</si>
  <si>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</si>
  <si>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</si>
  <si>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</si>
  <si>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</si>
  <si>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</si>
  <si>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</si>
  <si>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</si>
  <si>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Licencia Visual Studio Professional / Enterprise
Suscripción, actualizaciones, soporte técnico, Azure DevOps</t>
  </si>
  <si>
    <t>contado</t>
  </si>
  <si>
    <t>Licencias Visual Studio por volumen
Venta corporativa + implementación + soporte</t>
  </si>
  <si>
    <t>NIT: (no público)</t>
  </si>
  <si>
    <t>(venta online)
Licencias Visual Studio (perpetuas y suscripción)
Venta + asesoría + entrega digital</t>
  </si>
  <si>
    <t>Colombia (venta online)</t>
  </si>
  <si>
    <t xml:space="preserve">por un solo computador </t>
  </si>
  <si>
    <t>Total = 5.408.910 COP</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</si>
</sst>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quot;$&quot;#,##0"/>
    <numFmt numFmtId="165" formatCode="&quot;$&quot;#,##0.00"/>
    <numFmt numFmtId="166" formatCode="_([$$-409]* #,##0.00_);_([$$-409]* \(#,##0.00\);_([$$-409]* &quot;-&quot;??_);_(@_)"/>
    <numFmt numFmtId="167" formatCode="_-[$$-409]* #,##0.00_ ;_-[$$-409]* \-#,##0.00\ ;_-[$$-409]* &quot;-&quot;??_ ;_-@_ "/>
    <numFmt numFmtId="168" formatCode="&quot;$&quot;#,##0.00_);[Red]\(&quot;$&quot;#,##0.00\)"/>
    <numFmt numFmtId="169" formatCode="&quot;$&quot;\ #,##0.00;[Red]&quot;$&quot;\ #,##0.00"/>
    <numFmt numFmtId="170" formatCode="&quot;$&quot;#,##0_);[Red]\(&quot;$&quot;#,##0\)"/>
    <numFmt numFmtId="171" formatCode="_-[$$-240A]\ * #,##0.00_-;\-[$$-240A]\ * #,##0.00_-;_-[$$-240A]\ * &quot;-&quot;??_-;_-@"/>
    <numFmt numFmtId="172" formatCode="_(&quot;$&quot;* #,##0.00_);_(&quot;$&quot;* \(#,##0.00\);_(&quot;$&quot;* &quot;-&quot;??_);_(@_)"/>
  </numFmts>
  <fonts count="52">
    <font>
      <sz val="10.0"/>
      <color rgb="FF000000"/>
      <name val="Arial"/>
      <scheme val="minor"/>
    </font>
    <font>
      <sz val="10.0"/>
      <color theme="1"/>
      <name val="Arial"/>
    </font>
    <font>
      <b/>
      <sz val="12.0"/>
      <color theme="1"/>
      <name val="Arial"/>
    </font>
    <font/>
    <font>
      <b/>
      <sz val="10.0"/>
      <color theme="1"/>
      <name val="Arial"/>
    </font>
    <font>
      <b/>
      <sz val="10.0"/>
      <color theme="1"/>
      <name val="Trebuchet MS"/>
    </font>
    <font>
      <b/>
      <u/>
      <sz val="10.0"/>
      <color theme="1"/>
      <name val="Trebuchet MS"/>
    </font>
    <font>
      <i/>
      <sz val="10.0"/>
      <color theme="1"/>
      <name val="Arial"/>
    </font>
    <font>
      <sz val="10.0"/>
      <color rgb="FF000000"/>
      <name val="Trebuchet MS"/>
    </font>
    <font>
      <u/>
      <sz val="10.0"/>
      <color theme="10"/>
      <name val="Arial"/>
    </font>
    <font>
      <sz val="10.0"/>
      <color rgb="FF000000"/>
      <name val="Arial"/>
    </font>
    <font>
      <u/>
      <sz val="10.0"/>
      <color rgb="FF000000"/>
      <name val="Trebuchet MS"/>
    </font>
    <font>
      <sz val="10.0"/>
      <color theme="1"/>
      <name val="Trebuchet MS"/>
    </font>
    <font>
      <sz val="10.0"/>
      <color theme="1"/>
      <name val="Proxima Nova"/>
    </font>
    <font>
      <color theme="1"/>
      <name val="Arial"/>
      <scheme val="minor"/>
    </font>
    <font>
      <sz val="10.0"/>
      <color rgb="FF231F20"/>
      <name val="Trebuchet MS"/>
    </font>
    <font>
      <u/>
      <sz val="10.0"/>
      <color theme="10"/>
      <name val="Arial"/>
    </font>
    <font>
      <sz val="10.0"/>
      <color rgb="FF3C4B71"/>
      <name val="Arial"/>
    </font>
    <font>
      <b/>
      <sz val="10.0"/>
      <color theme="1"/>
      <name val="Open Sans"/>
    </font>
    <font>
      <u/>
      <sz val="10.0"/>
      <color theme="10"/>
      <name val="Arial"/>
    </font>
    <font>
      <sz val="10.0"/>
      <color rgb="FF222222"/>
      <name val="Inherit"/>
    </font>
    <font>
      <sz val="10.0"/>
      <color theme="1"/>
      <name val="Montserrat"/>
    </font>
    <font>
      <sz val="10.0"/>
      <color theme="1"/>
      <name val="Arial Narrow"/>
    </font>
    <font>
      <b/>
      <u/>
      <sz val="10.0"/>
      <color theme="1"/>
      <name val="Arial"/>
    </font>
    <font>
      <sz val="12.0"/>
      <color theme="1"/>
      <name val="Quattrocento Sans"/>
    </font>
    <font>
      <u/>
      <sz val="10.0"/>
      <color theme="10"/>
      <name val="Arial"/>
    </font>
    <font>
      <u/>
      <sz val="10.0"/>
      <color rgb="FF000000"/>
      <name val="Arial"/>
    </font>
    <font>
      <u/>
      <sz val="10.0"/>
      <color theme="10"/>
      <name val="Arial"/>
    </font>
    <font>
      <sz val="10.0"/>
      <color rgb="FF444444"/>
      <name val="Arial"/>
    </font>
    <font>
      <strike/>
      <sz val="8.0"/>
      <color rgb="FF999999"/>
      <name val="Arial"/>
    </font>
    <font>
      <b/>
      <u/>
      <sz val="10.0"/>
      <color theme="1"/>
      <name val="Trebuchet MS"/>
    </font>
    <font>
      <u/>
      <sz val="10.0"/>
      <color rgb="FF000000"/>
      <name val="Arial"/>
    </font>
    <font>
      <sz val="10.0"/>
      <color rgb="FF231F20"/>
      <name val="Arial"/>
    </font>
    <font>
      <sz val="10.0"/>
      <color rgb="FF333333"/>
      <name val="Arial"/>
    </font>
    <font>
      <sz val="13.0"/>
      <color rgb="FF000000"/>
      <name val="Arial"/>
    </font>
    <font>
      <sz val="10.0"/>
      <color rgb="FFBFBFBF"/>
      <name val="Arial"/>
    </font>
    <font>
      <sz val="10.0"/>
      <color rgb="FF666666"/>
      <name val="Arial"/>
    </font>
    <font>
      <sz val="14.0"/>
      <color rgb="FF0F1111"/>
      <name val="Arial"/>
    </font>
    <font>
      <b/>
      <sz val="10.0"/>
      <color rgb="FF333E48"/>
      <name val="Arial"/>
    </font>
    <font>
      <sz val="10.0"/>
      <color rgb="FF333E48"/>
      <name val="Arial"/>
    </font>
    <font>
      <sz val="10.0"/>
      <color rgb="FF4A4A4A"/>
      <name val="Arial"/>
    </font>
    <font>
      <u/>
      <sz val="10.0"/>
      <color theme="1"/>
      <name val="Arial"/>
    </font>
    <font>
      <u/>
      <sz val="10.0"/>
      <color theme="1"/>
      <name val="Arial"/>
    </font>
    <font>
      <b/>
      <i/>
      <sz val="10.0"/>
      <color theme="1"/>
      <name val="Arial"/>
    </font>
    <font>
      <u/>
      <sz val="10.0"/>
      <color rgb="FF0000FF"/>
      <name val="Arial"/>
    </font>
    <font>
      <u/>
      <sz val="10.0"/>
      <color rgb="FF000000"/>
      <name val="Arial"/>
    </font>
    <font>
      <u/>
      <sz val="10.0"/>
      <color rgb="FF000000"/>
      <name val="Arial"/>
    </font>
    <font>
      <sz val="10.0"/>
      <color rgb="FF0F1111"/>
      <name val="Arial"/>
    </font>
    <font>
      <u/>
      <sz val="10.0"/>
      <color theme="1"/>
      <name val="Arial"/>
    </font>
    <font>
      <sz val="9.0"/>
      <color theme="1"/>
      <name val="Arial"/>
    </font>
    <font>
      <u/>
      <sz val="9.0"/>
      <color theme="1"/>
      <name val="Arial"/>
    </font>
    <font>
      <sz val="10.0"/>
      <color theme="0"/>
      <name val="Arial"/>
    </font>
  </fonts>
  <fills count="12">
    <fill>
      <patternFill patternType="none"/>
    </fill>
    <fill>
      <patternFill patternType="lightGray"/>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F5F5F5"/>
        <bgColor rgb="FFF5F5F5"/>
      </patternFill>
    </fill>
    <fill>
      <patternFill patternType="solid">
        <fgColor rgb="FFEFEFEF"/>
        <bgColor rgb="FFEFEFEF"/>
      </patternFill>
    </fill>
    <fill>
      <patternFill patternType="solid">
        <fgColor rgb="FFFF0000"/>
        <bgColor rgb="FFFF0000"/>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top/>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right/>
      <top/>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style="thin">
        <color rgb="FF000000"/>
      </right>
      <bottom style="thin">
        <color rgb="FF000000"/>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3" fontId="4" numFmtId="0" xfId="0" applyAlignment="1" applyBorder="1" applyFill="1" applyFont="1">
      <alignment horizontal="center" shrinkToFit="0" vertical="center" wrapText="1"/>
    </xf>
    <xf borderId="4" fillId="0" fontId="5" numFmtId="0" xfId="0" applyAlignment="1" applyBorder="1" applyFont="1">
      <alignment horizontal="center" shrinkToFit="0" vertical="center" wrapText="1"/>
    </xf>
    <xf borderId="4" fillId="4" fontId="6" numFmtId="0" xfId="0" applyAlignment="1" applyBorder="1" applyFill="1" applyFont="1">
      <alignment horizontal="center" shrinkToFit="0" vertical="center" wrapText="1"/>
    </xf>
    <xf borderId="4" fillId="5" fontId="4" numFmtId="0" xfId="0" applyAlignment="1" applyBorder="1" applyFill="1" applyFont="1">
      <alignment horizontal="center" shrinkToFit="0" vertical="center" wrapText="1"/>
    </xf>
    <xf borderId="0" fillId="0" fontId="4" numFmtId="0" xfId="0" applyAlignment="1" applyFont="1">
      <alignment horizontal="center" vertical="center"/>
    </xf>
    <xf borderId="0" fillId="0" fontId="7" numFmtId="0" xfId="0" applyAlignment="1" applyFont="1">
      <alignment horizontal="center" vertical="center"/>
    </xf>
    <xf borderId="4" fillId="0" fontId="4" numFmtId="0" xfId="0" applyAlignment="1" applyBorder="1" applyFont="1">
      <alignment horizontal="center" vertical="center"/>
    </xf>
    <xf borderId="4" fillId="0" fontId="8" numFmtId="0" xfId="0" applyAlignment="1" applyBorder="1" applyFont="1">
      <alignment horizontal="center" shrinkToFit="0" vertical="center" wrapText="1"/>
    </xf>
    <xf borderId="4" fillId="0" fontId="9" numFmtId="0" xfId="0" applyAlignment="1" applyBorder="1" applyFont="1">
      <alignment horizontal="center" shrinkToFit="0" vertical="top" wrapText="1"/>
    </xf>
    <xf borderId="4" fillId="6" fontId="10" numFmtId="0" xfId="0" applyAlignment="1" applyBorder="1" applyFill="1" applyFont="1">
      <alignment horizontal="left" shrinkToFit="0" vertical="top" wrapText="1"/>
    </xf>
    <xf borderId="4" fillId="0" fontId="10" numFmtId="164" xfId="0" applyAlignment="1" applyBorder="1" applyFont="1" applyNumberFormat="1">
      <alignment readingOrder="0"/>
    </xf>
    <xf borderId="4" fillId="0" fontId="10" numFmtId="165" xfId="0" applyAlignment="1" applyBorder="1" applyFont="1" applyNumberFormat="1">
      <alignment readingOrder="0"/>
    </xf>
    <xf borderId="4" fillId="0" fontId="8" numFmtId="166" xfId="0" applyAlignment="1" applyBorder="1" applyFont="1" applyNumberFormat="1">
      <alignment horizontal="center" shrinkToFit="0" vertical="center" wrapText="1"/>
    </xf>
    <xf borderId="4" fillId="0" fontId="11" numFmtId="167" xfId="0" applyAlignment="1" applyBorder="1" applyFont="1" applyNumberFormat="1">
      <alignment horizontal="center" shrinkToFit="0" vertical="center" wrapText="1"/>
    </xf>
    <xf borderId="4" fillId="0" fontId="12" numFmtId="0" xfId="0" applyAlignment="1" applyBorder="1" applyFont="1">
      <alignment horizontal="center" shrinkToFit="0" vertical="center" wrapText="1"/>
    </xf>
    <xf borderId="4" fillId="6" fontId="13" numFmtId="0" xfId="0" applyAlignment="1" applyBorder="1" applyFont="1">
      <alignment horizontal="center" shrinkToFit="0" vertical="center" wrapText="1"/>
    </xf>
    <xf borderId="5" fillId="7" fontId="10" numFmtId="0" xfId="0" applyBorder="1" applyFill="1" applyFont="1"/>
    <xf borderId="0" fillId="0" fontId="10" numFmtId="167" xfId="0" applyFont="1" applyNumberFormat="1"/>
    <xf borderId="0" fillId="0" fontId="14" numFmtId="0" xfId="0" applyFont="1"/>
    <xf borderId="4" fillId="0" fontId="15" numFmtId="0" xfId="0" applyAlignment="1" applyBorder="1" applyFont="1">
      <alignment horizontal="center" shrinkToFit="0" vertical="center" wrapText="1"/>
    </xf>
    <xf borderId="4" fillId="0" fontId="16" numFmtId="0" xfId="0" applyBorder="1" applyFont="1"/>
    <xf borderId="4" fillId="6" fontId="17" numFmtId="0" xfId="0" applyAlignment="1" applyBorder="1" applyFont="1">
      <alignment horizontal="center" shrinkToFit="0" vertical="center" wrapText="1"/>
    </xf>
    <xf borderId="4" fillId="0" fontId="8" numFmtId="164" xfId="0" applyAlignment="1" applyBorder="1" applyFont="1" applyNumberFormat="1">
      <alignment horizontal="center" shrinkToFit="0" vertical="center" wrapText="1"/>
    </xf>
    <xf borderId="4" fillId="0" fontId="8" numFmtId="165" xfId="0" applyAlignment="1" applyBorder="1" applyFont="1" applyNumberFormat="1">
      <alignment horizontal="center" readingOrder="0" vertical="center"/>
    </xf>
    <xf borderId="4" fillId="0" fontId="12" numFmtId="0" xfId="0" applyAlignment="1" applyBorder="1" applyFont="1">
      <alignment horizontal="center" shrinkToFit="0" vertical="top" wrapText="1"/>
    </xf>
    <xf borderId="4" fillId="6" fontId="18" numFmtId="0" xfId="0" applyAlignment="1" applyBorder="1" applyFont="1">
      <alignment horizontal="center" shrinkToFit="0" vertical="center" wrapText="1"/>
    </xf>
    <xf borderId="4" fillId="0" fontId="19" numFmtId="0" xfId="0" applyAlignment="1" applyBorder="1" applyFont="1">
      <alignment horizontal="center" shrinkToFit="0" vertical="center" wrapText="1"/>
    </xf>
    <xf borderId="4" fillId="6" fontId="20" numFmtId="0" xfId="0" applyAlignment="1" applyBorder="1" applyFont="1">
      <alignment horizontal="center" shrinkToFit="0" vertical="center" wrapText="1"/>
    </xf>
    <xf borderId="4" fillId="0" fontId="10" numFmtId="164" xfId="0" applyAlignment="1" applyBorder="1" applyFont="1" applyNumberFormat="1">
      <alignment horizontal="left" readingOrder="0"/>
    </xf>
    <xf borderId="4" fillId="0" fontId="8" numFmtId="165" xfId="0" applyAlignment="1" applyBorder="1" applyFont="1" applyNumberFormat="1">
      <alignment horizontal="center" readingOrder="0" shrinkToFit="0" vertical="center" wrapText="1"/>
    </xf>
    <xf borderId="4" fillId="6" fontId="21" numFmtId="0" xfId="0" applyAlignment="1" applyBorder="1" applyFont="1">
      <alignment horizontal="center" shrinkToFit="0" vertical="center" wrapText="1"/>
    </xf>
    <xf borderId="4" fillId="0" fontId="1" numFmtId="0" xfId="0" applyBorder="1" applyFont="1"/>
    <xf borderId="4" fillId="0" fontId="12" numFmtId="0" xfId="0" applyAlignment="1" applyBorder="1" applyFont="1">
      <alignment horizontal="left" shrinkToFit="0" vertical="top" wrapText="1"/>
    </xf>
    <xf borderId="1" fillId="0" fontId="4" numFmtId="0" xfId="0" applyAlignment="1" applyBorder="1" applyFont="1">
      <alignment horizontal="left" shrinkToFit="0" vertical="center" wrapText="1"/>
    </xf>
    <xf borderId="0" fillId="0" fontId="22" numFmtId="0" xfId="0" applyAlignment="1" applyFont="1">
      <alignment horizontal="center" shrinkToFit="0" vertical="center" wrapText="1"/>
    </xf>
    <xf borderId="4" fillId="0" fontId="4" numFmtId="0" xfId="0" applyAlignment="1" applyBorder="1" applyFont="1">
      <alignment horizontal="center" shrinkToFit="0" vertical="center" wrapText="1"/>
    </xf>
    <xf borderId="4" fillId="4" fontId="23" numFmtId="0" xfId="0" applyAlignment="1" applyBorder="1" applyFont="1">
      <alignment horizontal="center" shrinkToFit="0" vertical="center" wrapText="1"/>
    </xf>
    <xf borderId="6" fillId="5" fontId="4" numFmtId="0" xfId="0" applyAlignment="1" applyBorder="1" applyFont="1">
      <alignment horizontal="center" shrinkToFit="0" vertical="center" wrapText="1"/>
    </xf>
    <xf borderId="0" fillId="0" fontId="24" numFmtId="0" xfId="0" applyAlignment="1" applyFont="1">
      <alignment shrinkToFit="0" vertical="center" wrapText="1"/>
    </xf>
    <xf borderId="7" fillId="0" fontId="25" numFmtId="0" xfId="0" applyAlignment="1" applyBorder="1" applyFont="1">
      <alignment shrinkToFit="0" vertical="center" wrapText="1"/>
    </xf>
    <xf borderId="4" fillId="0" fontId="10" numFmtId="0" xfId="0" applyAlignment="1" applyBorder="1" applyFont="1">
      <alignment horizontal="center" shrinkToFit="0" vertical="center" wrapText="1"/>
    </xf>
    <xf borderId="4" fillId="0" fontId="10" numFmtId="168" xfId="0" applyAlignment="1" applyBorder="1" applyFont="1" applyNumberFormat="1">
      <alignment horizontal="center" shrinkToFit="0" vertical="center" wrapText="1"/>
    </xf>
    <xf borderId="4" fillId="0" fontId="1" numFmtId="166" xfId="0" applyAlignment="1" applyBorder="1" applyFont="1" applyNumberFormat="1">
      <alignment horizontal="center" shrinkToFit="0" vertical="top" wrapText="1"/>
    </xf>
    <xf borderId="4" fillId="6" fontId="26" numFmtId="167" xfId="0" applyAlignment="1" applyBorder="1" applyFont="1" applyNumberFormat="1">
      <alignment horizontal="center" shrinkToFit="0" vertical="center" wrapText="1"/>
    </xf>
    <xf borderId="4" fillId="6" fontId="10" numFmtId="0" xfId="0" applyAlignment="1" applyBorder="1" applyFont="1">
      <alignment horizontal="center" shrinkToFit="0" vertical="center" wrapText="1"/>
    </xf>
    <xf borderId="8" fillId="7" fontId="10" numFmtId="167" xfId="0" applyBorder="1" applyFont="1" applyNumberFormat="1"/>
    <xf borderId="0" fillId="0" fontId="10" numFmtId="169" xfId="0" applyFont="1" applyNumberFormat="1"/>
    <xf borderId="6" fillId="8" fontId="10" numFmtId="0" xfId="0" applyAlignment="1" applyBorder="1" applyFill="1" applyFont="1">
      <alignment horizontal="center" shrinkToFit="0" vertical="center" wrapText="1"/>
    </xf>
    <xf borderId="4" fillId="6" fontId="27" numFmtId="0" xfId="0" applyAlignment="1" applyBorder="1" applyFont="1">
      <alignment horizontal="center" shrinkToFit="0" vertical="center" wrapText="1"/>
    </xf>
    <xf borderId="9" fillId="6" fontId="28" numFmtId="0" xfId="0" applyAlignment="1" applyBorder="1" applyFont="1">
      <alignment horizontal="center" shrinkToFit="0" vertical="center" wrapText="1"/>
    </xf>
    <xf borderId="0" fillId="0" fontId="29" numFmtId="3" xfId="0" applyAlignment="1" applyFont="1" applyNumberFormat="1">
      <alignment shrinkToFit="0" vertical="center" wrapText="1"/>
    </xf>
    <xf borderId="4" fillId="9" fontId="28" numFmtId="0" xfId="0" applyAlignment="1" applyBorder="1" applyFill="1" applyFont="1">
      <alignment shrinkToFit="0" vertical="center" wrapText="1"/>
    </xf>
    <xf borderId="1" fillId="0" fontId="10" numFmtId="0" xfId="0" applyAlignment="1" applyBorder="1" applyFont="1">
      <alignment horizontal="center" shrinkToFit="0" vertical="center" wrapText="1"/>
    </xf>
    <xf borderId="4" fillId="6" fontId="28" numFmtId="0" xfId="0" applyAlignment="1" applyBorder="1" applyFont="1">
      <alignment horizontal="center" shrinkToFit="0" vertical="center" wrapText="1"/>
    </xf>
    <xf borderId="4" fillId="0" fontId="10" numFmtId="170" xfId="0" applyAlignment="1" applyBorder="1" applyFont="1" applyNumberFormat="1">
      <alignment horizontal="center" shrinkToFit="0" vertical="center" wrapText="1"/>
    </xf>
    <xf borderId="10" fillId="3" fontId="4" numFmtId="0" xfId="0" applyAlignment="1" applyBorder="1" applyFont="1">
      <alignment horizontal="center" shrinkToFit="0" vertical="center" wrapText="1"/>
    </xf>
    <xf borderId="7" fillId="0" fontId="5" numFmtId="0" xfId="0" applyAlignment="1" applyBorder="1" applyFont="1">
      <alignment horizontal="center" shrinkToFit="0" vertical="center" wrapText="1"/>
    </xf>
    <xf borderId="10" fillId="4" fontId="30" numFmtId="0" xfId="0" applyAlignment="1" applyBorder="1" applyFont="1">
      <alignment horizontal="center" shrinkToFit="0" vertical="center" wrapText="1"/>
    </xf>
    <xf borderId="11" fillId="5" fontId="4" numFmtId="0" xfId="0" applyAlignment="1" applyBorder="1" applyFont="1">
      <alignment horizontal="center" shrinkToFit="0" vertical="center" wrapText="1"/>
    </xf>
    <xf borderId="0" fillId="0" fontId="10" numFmtId="0" xfId="0" applyAlignment="1" applyFont="1">
      <alignment horizontal="center" shrinkToFit="0" vertical="center" wrapText="1"/>
    </xf>
    <xf borderId="0" fillId="0" fontId="10" numFmtId="0" xfId="0" applyAlignment="1" applyFont="1">
      <alignment vertical="center"/>
    </xf>
    <xf borderId="4" fillId="0" fontId="1" numFmtId="0" xfId="0" applyAlignment="1" applyBorder="1" applyFont="1">
      <alignment horizontal="center" shrinkToFit="0" vertical="top" wrapText="1"/>
    </xf>
    <xf borderId="4" fillId="6" fontId="31" numFmtId="0" xfId="0" applyAlignment="1" applyBorder="1" applyFont="1">
      <alignment horizontal="center" shrinkToFit="0" wrapText="1"/>
    </xf>
    <xf borderId="8" fillId="7" fontId="10" numFmtId="170" xfId="0" applyBorder="1" applyFont="1" applyNumberFormat="1"/>
    <xf borderId="4" fillId="0" fontId="32" numFmtId="0" xfId="0" applyAlignment="1" applyBorder="1" applyFont="1">
      <alignment horizontal="center" shrinkToFit="0" vertical="center" wrapText="1"/>
    </xf>
    <xf borderId="4" fillId="6" fontId="33" numFmtId="0" xfId="0" applyAlignment="1" applyBorder="1" applyFont="1">
      <alignment horizontal="center" shrinkToFit="0" vertical="center" wrapText="1"/>
    </xf>
    <xf borderId="4" fillId="0" fontId="10" numFmtId="3" xfId="0" applyAlignment="1" applyBorder="1" applyFont="1" applyNumberFormat="1">
      <alignment horizontal="center" shrinkToFit="0" vertical="center" wrapText="1"/>
    </xf>
    <xf borderId="7" fillId="6" fontId="33" numFmtId="0" xfId="0" applyAlignment="1" applyBorder="1" applyFont="1">
      <alignment horizontal="center" shrinkToFit="0" wrapText="1"/>
    </xf>
    <xf borderId="7" fillId="0" fontId="10" numFmtId="0" xfId="0" applyAlignment="1" applyBorder="1" applyFont="1">
      <alignment horizontal="center" shrinkToFit="0" vertical="center" wrapText="1"/>
    </xf>
    <xf borderId="7" fillId="0" fontId="10" numFmtId="3" xfId="0" applyAlignment="1" applyBorder="1" applyFont="1" applyNumberFormat="1">
      <alignment horizontal="center" shrinkToFit="0" vertical="center" wrapText="1"/>
    </xf>
    <xf borderId="12" fillId="0" fontId="3" numFmtId="0" xfId="0" applyBorder="1" applyFont="1"/>
    <xf borderId="4" fillId="0" fontId="1" numFmtId="0" xfId="0" applyAlignment="1" applyBorder="1" applyFont="1">
      <alignment horizontal="left" shrinkToFit="0" vertical="top" wrapText="1"/>
    </xf>
    <xf borderId="1" fillId="0" fontId="4" numFmtId="0" xfId="0" applyAlignment="1" applyBorder="1" applyFont="1">
      <alignment horizontal="center" vertical="center"/>
    </xf>
    <xf borderId="4" fillId="6" fontId="10" numFmtId="171" xfId="0" applyAlignment="1" applyBorder="1" applyFont="1" applyNumberFormat="1">
      <alignment horizontal="center" shrinkToFit="0" vertical="center" wrapText="1"/>
    </xf>
    <xf borderId="4" fillId="0" fontId="10" numFmtId="171" xfId="0" applyAlignment="1" applyBorder="1" applyFont="1" applyNumberFormat="1">
      <alignment horizontal="center" shrinkToFit="0" vertical="center" wrapText="1"/>
    </xf>
    <xf borderId="4" fillId="0" fontId="10" numFmtId="166" xfId="0" applyAlignment="1" applyBorder="1" applyFont="1" applyNumberFormat="1">
      <alignment horizontal="center" shrinkToFit="0" vertical="top" wrapText="1"/>
    </xf>
    <xf borderId="8" fillId="7" fontId="10" numFmtId="171" xfId="0" applyBorder="1" applyFont="1" applyNumberFormat="1"/>
    <xf borderId="0" fillId="0" fontId="34" numFmtId="0" xfId="0" applyAlignment="1" applyFont="1">
      <alignment shrinkToFit="0" vertical="center" wrapText="1"/>
    </xf>
    <xf borderId="12" fillId="0" fontId="12" numFmtId="0" xfId="0" applyAlignment="1" applyBorder="1" applyFont="1">
      <alignment horizontal="left" shrinkToFit="0" vertical="top" wrapText="1"/>
    </xf>
    <xf borderId="11" fillId="5" fontId="4" numFmtId="166" xfId="0" applyAlignment="1" applyBorder="1" applyFont="1" applyNumberFormat="1">
      <alignment horizontal="center" shrinkToFit="0" vertical="center" wrapText="1"/>
    </xf>
    <xf borderId="4" fillId="0" fontId="35" numFmtId="0" xfId="0" applyAlignment="1" applyBorder="1" applyFont="1">
      <alignment horizontal="center" shrinkToFit="0" vertical="center" wrapText="1"/>
    </xf>
    <xf borderId="4" fillId="6" fontId="36" numFmtId="0" xfId="0" applyAlignment="1" applyBorder="1" applyFont="1">
      <alignment horizontal="center" shrinkToFit="0" vertical="center" wrapText="1"/>
    </xf>
    <xf borderId="0" fillId="0" fontId="10" numFmtId="0" xfId="0" applyAlignment="1" applyFont="1">
      <alignment shrinkToFit="0" wrapText="1"/>
    </xf>
    <xf borderId="0" fillId="0" fontId="37" numFmtId="0" xfId="0" applyAlignment="1" applyFont="1">
      <alignment shrinkToFit="0" vertical="center" wrapText="1"/>
    </xf>
    <xf borderId="4" fillId="6" fontId="38" numFmtId="0" xfId="0" applyAlignment="1" applyBorder="1" applyFont="1">
      <alignment horizontal="center" shrinkToFit="0" vertical="center" wrapText="1"/>
    </xf>
    <xf borderId="4" fillId="6" fontId="39"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4" fillId="6" fontId="40" numFmtId="171" xfId="0" applyAlignment="1" applyBorder="1" applyFont="1" applyNumberFormat="1">
      <alignment horizontal="center" shrinkToFit="0" vertical="center" wrapText="1"/>
    </xf>
    <xf borderId="4" fillId="6" fontId="33" numFmtId="0" xfId="0" applyAlignment="1" applyBorder="1" applyFont="1">
      <alignment shrinkToFit="0" vertical="center" wrapText="1"/>
    </xf>
    <xf borderId="4" fillId="6" fontId="1" numFmtId="171" xfId="0" applyAlignment="1" applyBorder="1" applyFont="1" applyNumberFormat="1">
      <alignment horizontal="center" shrinkToFit="0" vertical="center" wrapText="1"/>
    </xf>
    <xf borderId="7" fillId="0" fontId="10" numFmtId="171" xfId="0" applyAlignment="1" applyBorder="1" applyFont="1" applyNumberFormat="1">
      <alignment horizontal="center" shrinkToFit="0" vertical="center" wrapText="1"/>
    </xf>
    <xf borderId="4" fillId="0" fontId="10" numFmtId="0" xfId="0" applyAlignment="1" applyBorder="1" applyFont="1">
      <alignment horizontal="left" shrinkToFit="0" vertical="center" wrapText="1"/>
    </xf>
    <xf borderId="1" fillId="0" fontId="1" numFmtId="0" xfId="0" applyBorder="1" applyFont="1"/>
    <xf borderId="4" fillId="9" fontId="28"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4" fillId="0" fontId="41" numFmtId="0" xfId="0" applyAlignment="1" applyBorder="1" applyFont="1">
      <alignment horizontal="center" shrinkToFit="0" vertical="center" wrapText="1"/>
    </xf>
    <xf borderId="4" fillId="6" fontId="1" numFmtId="0" xfId="0" applyAlignment="1" applyBorder="1" applyFont="1">
      <alignment horizontal="center" shrinkToFit="0" vertical="center" wrapText="1"/>
    </xf>
    <xf borderId="4" fillId="0" fontId="1" numFmtId="171" xfId="0" applyAlignment="1" applyBorder="1" applyFont="1" applyNumberFormat="1">
      <alignment horizontal="center" shrinkToFit="0" vertical="center" wrapText="1"/>
    </xf>
    <xf borderId="4" fillId="0" fontId="1" numFmtId="166" xfId="0" applyAlignment="1" applyBorder="1" applyFont="1" applyNumberFormat="1">
      <alignment horizontal="center" shrinkToFit="0" vertical="center" wrapText="1"/>
    </xf>
    <xf borderId="4" fillId="6" fontId="42" numFmtId="167" xfId="0" applyAlignment="1" applyBorder="1" applyFont="1" applyNumberFormat="1">
      <alignment horizontal="center" shrinkToFit="0" vertical="center" wrapText="1"/>
    </xf>
    <xf borderId="4" fillId="6" fontId="1" numFmtId="0" xfId="0" applyAlignment="1" applyBorder="1" applyFont="1">
      <alignment horizontal="center" shrinkToFit="0" wrapText="1"/>
    </xf>
    <xf borderId="0" fillId="0" fontId="43" numFmtId="0" xfId="0" applyAlignment="1" applyFont="1">
      <alignment horizontal="center" vertical="center"/>
    </xf>
    <xf borderId="4" fillId="0" fontId="44" numFmtId="0" xfId="0" applyAlignment="1" applyBorder="1" applyFont="1">
      <alignment horizontal="center" shrinkToFit="0" vertical="center" wrapText="1"/>
    </xf>
    <xf borderId="4" fillId="0" fontId="45" numFmtId="0" xfId="0" applyAlignment="1" applyBorder="1" applyFont="1">
      <alignment horizontal="center" shrinkToFit="0" vertical="center" wrapText="1"/>
    </xf>
    <xf borderId="6" fillId="6" fontId="46" numFmtId="167" xfId="0" applyAlignment="1" applyBorder="1" applyFont="1" applyNumberFormat="1">
      <alignment horizontal="center" shrinkToFit="0" vertical="center" wrapText="1"/>
    </xf>
    <xf borderId="4" fillId="0" fontId="10" numFmtId="0" xfId="0" applyAlignment="1" applyBorder="1" applyFont="1">
      <alignment horizontal="center" vertical="center"/>
    </xf>
    <xf borderId="9" fillId="6" fontId="10" numFmtId="0" xfId="0" applyAlignment="1" applyBorder="1" applyFont="1">
      <alignment horizontal="center" shrinkToFit="0" vertical="center" wrapText="1"/>
    </xf>
    <xf borderId="9" fillId="6" fontId="47" numFmtId="0" xfId="0" applyAlignment="1" applyBorder="1" applyFont="1">
      <alignment horizontal="center" shrinkToFit="0" vertical="center" wrapText="1"/>
    </xf>
    <xf borderId="0" fillId="0" fontId="10" numFmtId="0" xfId="0" applyFont="1"/>
    <xf borderId="9" fillId="6" fontId="36" numFmtId="0" xfId="0" applyAlignment="1" applyBorder="1" applyFont="1">
      <alignment horizontal="center" shrinkToFit="0" vertical="center" wrapText="1"/>
    </xf>
    <xf borderId="0" fillId="0" fontId="10" numFmtId="0" xfId="0" applyAlignment="1" applyFont="1">
      <alignment shrinkToFit="0" vertical="center" wrapText="1"/>
    </xf>
    <xf borderId="4" fillId="0" fontId="1" numFmtId="167" xfId="0" applyAlignment="1" applyBorder="1" applyFont="1" applyNumberFormat="1">
      <alignment horizontal="center" shrinkToFit="0" vertical="center" wrapText="1"/>
    </xf>
    <xf borderId="0" fillId="0" fontId="10" numFmtId="171" xfId="0" applyFont="1" applyNumberFormat="1"/>
    <xf borderId="0" fillId="0" fontId="10" numFmtId="0" xfId="0" applyAlignment="1" applyFont="1">
      <alignment vertical="top"/>
    </xf>
    <xf borderId="4" fillId="6" fontId="4" numFmtId="171" xfId="0" applyAlignment="1" applyBorder="1" applyFont="1" applyNumberFormat="1">
      <alignment horizontal="center" shrinkToFit="0" vertical="center" wrapText="1"/>
    </xf>
    <xf borderId="12" fillId="0" fontId="12" numFmtId="3" xfId="0" applyAlignment="1" applyBorder="1" applyFont="1" applyNumberFormat="1">
      <alignment horizontal="center" shrinkToFit="0" vertical="top" wrapText="1"/>
    </xf>
    <xf borderId="4" fillId="0" fontId="12" numFmtId="3" xfId="0" applyAlignment="1" applyBorder="1" applyFont="1" applyNumberFormat="1">
      <alignment horizontal="center" shrinkToFit="0" vertical="top" wrapText="1"/>
    </xf>
    <xf borderId="4" fillId="0" fontId="48" numFmtId="0" xfId="0" applyAlignment="1" applyBorder="1" applyFont="1">
      <alignment horizontal="center" shrinkToFit="0" vertical="top" wrapText="1"/>
    </xf>
    <xf borderId="4" fillId="0" fontId="49" numFmtId="172" xfId="0" applyAlignment="1" applyBorder="1" applyFont="1" applyNumberFormat="1">
      <alignment horizontal="center" shrinkToFit="0" vertical="center" wrapText="1"/>
    </xf>
    <xf borderId="4" fillId="0" fontId="1" numFmtId="172" xfId="0" applyAlignment="1" applyBorder="1" applyFont="1" applyNumberFormat="1">
      <alignment horizontal="center" shrinkToFit="0" vertical="top" wrapText="1"/>
    </xf>
    <xf borderId="4" fillId="0" fontId="49" numFmtId="167" xfId="0" applyAlignment="1" applyBorder="1" applyFont="1" applyNumberFormat="1">
      <alignment horizontal="center" shrinkToFit="0" vertical="center" wrapText="1"/>
    </xf>
    <xf borderId="4" fillId="0" fontId="49" numFmtId="0" xfId="0" applyAlignment="1" applyBorder="1" applyFont="1">
      <alignment horizontal="center" shrinkToFit="0" vertical="center" wrapText="1"/>
    </xf>
    <xf borderId="4" fillId="10" fontId="49" numFmtId="0" xfId="0" applyAlignment="1" applyBorder="1" applyFill="1" applyFont="1">
      <alignment horizontal="center" shrinkToFit="0" vertical="center" wrapText="1"/>
    </xf>
    <xf borderId="4" fillId="0" fontId="50" numFmtId="0" xfId="0" applyAlignment="1" applyBorder="1" applyFont="1">
      <alignment horizontal="center" shrinkToFit="0" vertical="center" wrapText="1"/>
    </xf>
    <xf borderId="4" fillId="0" fontId="1" numFmtId="171" xfId="0" applyAlignment="1" applyBorder="1" applyFont="1" applyNumberFormat="1">
      <alignment horizontal="center" shrinkToFit="0" vertical="top" wrapText="1"/>
    </xf>
    <xf borderId="4" fillId="0" fontId="1" numFmtId="167" xfId="0" applyAlignment="1" applyBorder="1" applyFont="1" applyNumberFormat="1">
      <alignment horizontal="center" shrinkToFit="0" vertical="top" wrapText="1"/>
    </xf>
    <xf borderId="4" fillId="6" fontId="1" numFmtId="0" xfId="0" applyAlignment="1" applyBorder="1" applyFont="1">
      <alignment shrinkToFit="0" vertical="center" wrapText="1"/>
    </xf>
    <xf borderId="8" fillId="11" fontId="5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elp.acquire.com/how-much-does-it-cost-to-sell?utm_source=" TargetMode="External"/><Relationship Id="rId2" Type="http://schemas.openxmlformats.org/officeDocument/2006/relationships/hyperlink" Target="https://www.counterx.io/pricing?utm_source=" TargetMode="External"/><Relationship Id="rId3" Type="http://schemas.openxmlformats.org/officeDocument/2006/relationships/hyperlink" Target="https://todaytesting.com/flippa-vs-acquire-comparison-buy-sell-online-businesses-2025/?utm_sourc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o.todosnegocios.com/lg-electronics-colombia-oficinas-1-3907959" TargetMode="External"/><Relationship Id="rId2" Type="http://schemas.openxmlformats.org/officeDocument/2006/relationships/hyperlink" Target="https://www.lg.com/co/Privacy_back/?utm_source" TargetMode="External"/><Relationship Id="rId3" Type="http://schemas.openxmlformats.org/officeDocument/2006/relationships/hyperlink" Target="https://co.todosnegocios.com/lg-electronics-colombia-oficinas-1-3907959"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amsung.com/co/support/contact/" TargetMode="External"/><Relationship Id="rId2" Type="http://schemas.openxmlformats.org/officeDocument/2006/relationships/hyperlink" Target="https://www.kingston.com/es/support/global-contacts" TargetMode="External"/><Relationship Id="rId3" Type="http://schemas.openxmlformats.org/officeDocument/2006/relationships/hyperlink" Target="https://www.crucial.com/support/contact"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westerndigital.com/es-la/company/contact-us?utm_source" TargetMode="External"/><Relationship Id="rId2" Type="http://schemas.openxmlformats.org/officeDocument/2006/relationships/hyperlink" Target="https://www.hiksemitech.com/es/hiksemi.html" TargetMode="External"/><Relationship Id="rId3" Type="http://schemas.openxmlformats.org/officeDocument/2006/relationships/hyperlink" Target="https://www.global.toshiba/ww/top.html"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f5.com/" TargetMode="External"/><Relationship Id="rId2" Type="http://schemas.openxmlformats.org/officeDocument/2006/relationships/hyperlink" Target="https://www.microsoft.com/"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datotek.co/" TargetMode="External"/><Relationship Id="rId2" Type="http://schemas.openxmlformats.org/officeDocument/2006/relationships/hyperlink" Target="https://www.gigastone.com/en" TargetMode="External"/><Relationship Id="rId3" Type="http://schemas.openxmlformats.org/officeDocument/2006/relationships/hyperlink" Target="https://www.corsair.com/lm/es"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logitech.com/es-mx" TargetMode="External"/><Relationship Id="rId2" Type="http://schemas.openxmlformats.org/officeDocument/2006/relationships/hyperlink" Target="https://rkgamingstore.com/?srsltid=AfmBOooNC0_zNAfxVUWYYtHW9C5PpxwQ33aoqDifqT_HpfMEhShmXOqm" TargetMode="External"/><Relationship Id="rId3" Type="http://schemas.openxmlformats.org/officeDocument/2006/relationships/hyperlink" Target="https://www.atk.store/es?ref=DUB25&amp;gad_source=1&amp;gad_campaignid=22102742066&amp;gbraid=0AAAAA-La6S8fEc-LJUidCww--eIKC1saE&amp;gclid=Cj0KCQjwmunNBhDbARIsAOndKplfd1RQqo9KCBDaKp95RjVT63kI4SnMs-0zS6Oj41hWpRD0Z-sVmzgaAmcIEALw_wcB"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mac-center.com/pages/ofertas-mac-center?utm_source=sem&amp;utm_medium=cpa&amp;utm_campaign=pure_brand_marca_oferta&amp;utm_term=rmkt-lkl-advantage&amp;utm_content=text-admarcamultiaudiencia&amp;gad_source=1&amp;gad_campaignid=23414547318&amp;gbraid=0AAAAAoKyMF_6vuumq1dpmo2YkWgW3jNkR&amp;gclid=Cj0KCQjwmunNBhDbARIsAOndKpk1Ofqg2JB4z6XG93TlBn_7kJAI-kWxhQbGKM8MfljpjkvstMsPD5IaAtOPEALw_wcB" TargetMode="External"/><Relationship Id="rId2" Type="http://schemas.openxmlformats.org/officeDocument/2006/relationships/hyperlink" Target="https://www.asus.com/" TargetMode="External"/><Relationship Id="rId3" Type="http://schemas.openxmlformats.org/officeDocument/2006/relationships/hyperlink" Target="https://www.lenovo.com/co/es/?orgRef=https%253A%252F%252Fchatgpt.com%252F"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co.todosnegocios.com/lg-electronics-colombia-oficinas-1-3907959" TargetMode="External"/><Relationship Id="rId2" Type="http://schemas.openxmlformats.org/officeDocument/2006/relationships/hyperlink" Target="https://www.lg.com/co/Privacy_back/?utm_source" TargetMode="External"/><Relationship Id="rId3" Type="http://schemas.openxmlformats.org/officeDocument/2006/relationships/hyperlink" Target="https://co.todosnegocios.com/lg-electronics-colombia-oficinas-1-3907959"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westerndigital.com/es-la/company/contact-us?utm_source" TargetMode="External"/><Relationship Id="rId2" Type="http://schemas.openxmlformats.org/officeDocument/2006/relationships/hyperlink" Target="https://www.hiksemitech.com/es/hiksemi.html" TargetMode="External"/><Relationship Id="rId3" Type="http://schemas.openxmlformats.org/officeDocument/2006/relationships/hyperlink" Target="https://www.global.toshiba/ww/top.html"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co.todosnegocios.com/lg-electronics-colombia-oficinas-1-3907959" TargetMode="External"/><Relationship Id="rId2" Type="http://schemas.openxmlformats.org/officeDocument/2006/relationships/hyperlink" Target="https://www.lg.com/co/Privacy_back/?utm_source" TargetMode="External"/><Relationship Id="rId3" Type="http://schemas.openxmlformats.org/officeDocument/2006/relationships/hyperlink" Target="https://co.todosnegocios.com/lg-electronics-colombia-oficinas-1-3907959"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f5.com/" TargetMode="External"/><Relationship Id="rId2" Type="http://schemas.openxmlformats.org/officeDocument/2006/relationships/hyperlink" Target="https://www.microsoft.com/"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datotek.co/" TargetMode="External"/><Relationship Id="rId2" Type="http://schemas.openxmlformats.org/officeDocument/2006/relationships/hyperlink" Target="https://www.gigastone.com/en" TargetMode="External"/><Relationship Id="rId3" Type="http://schemas.openxmlformats.org/officeDocument/2006/relationships/hyperlink" Target="https://www.corsair.com/lm/es"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falabella.com.co/falabella-co/product/3032470/Teclado-Logitech-Inalambrico-K400-Plus-con-touch-pad-para-TV.-Apto-para-TV-y-PC/3032470" TargetMode="External"/><Relationship Id="rId2" Type="http://schemas.openxmlformats.org/officeDocument/2006/relationships/hyperlink" Target="https://www.mercadolibre.com.co/teclado-mecanico-gamer-unitec-mk20-retroiluminado-color-del-teclado-plateado/p/MCO23026811?pdp_filters=item_id:MCO1366192149" TargetMode="External"/><Relationship Id="rId3" Type="http://schemas.openxmlformats.org/officeDocument/2006/relationships/hyperlink" Target="https://www.compulago.com/producto/teclado-usb-genius-slimstar-230-multimedia-362702337905/"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logitech.com/es-mx" TargetMode="External"/><Relationship Id="rId2" Type="http://schemas.openxmlformats.org/officeDocument/2006/relationships/hyperlink" Target="https://satechi.com/" TargetMode="External"/><Relationship Id="rId3" Type="http://schemas.openxmlformats.org/officeDocument/2006/relationships/hyperlink" Target="https://www.coolermaster.com/es-global/products/mm712/"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30.13"/>
    <col customWidth="1" min="4" max="4" width="21.88"/>
    <col customWidth="1" min="5" max="6" width="17.0"/>
    <col customWidth="1" min="7" max="7" width="18.0"/>
    <col customWidth="1" min="8" max="8" width="23.88"/>
    <col customWidth="1" min="9" max="10" width="19.13"/>
    <col customWidth="1" min="11" max="11" width="15.25"/>
    <col customWidth="1" min="12" max="12" width="13.88"/>
    <col customWidth="1" min="13" max="13" width="14.38"/>
    <col customWidth="1" min="14"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7" t="s">
        <v>3</v>
      </c>
      <c r="C7" s="7" t="s">
        <v>4</v>
      </c>
      <c r="D7" s="7" t="s">
        <v>5</v>
      </c>
      <c r="E7" s="7" t="s">
        <v>6</v>
      </c>
      <c r="F7" s="8" t="s">
        <v>7</v>
      </c>
      <c r="G7" s="9" t="s">
        <v>8</v>
      </c>
      <c r="H7" s="7" t="s">
        <v>9</v>
      </c>
      <c r="I7" s="7" t="s">
        <v>10</v>
      </c>
      <c r="J7" s="7" t="s">
        <v>11</v>
      </c>
      <c r="K7" s="10" t="s">
        <v>12</v>
      </c>
      <c r="L7" s="10" t="s">
        <v>13</v>
      </c>
      <c r="M7" s="10" t="s">
        <v>14</v>
      </c>
      <c r="N7" s="11"/>
      <c r="O7" s="11"/>
      <c r="P7" s="11"/>
      <c r="Q7" s="11"/>
      <c r="R7" s="11"/>
      <c r="S7" s="11"/>
      <c r="T7" s="11"/>
      <c r="U7" s="11"/>
      <c r="V7" s="11"/>
      <c r="W7" s="11"/>
      <c r="X7" s="11"/>
      <c r="Y7" s="11"/>
      <c r="Z7" s="11"/>
    </row>
    <row r="8" ht="113.25" customHeight="1">
      <c r="A8" s="12" t="s">
        <v>15</v>
      </c>
      <c r="B8" s="13" t="s">
        <v>16</v>
      </c>
      <c r="C8" s="14" t="s">
        <v>17</v>
      </c>
      <c r="D8" s="15" t="s">
        <v>18</v>
      </c>
      <c r="E8" s="16" t="s">
        <v>19</v>
      </c>
      <c r="F8" s="17" t="s">
        <v>20</v>
      </c>
      <c r="G8" s="18">
        <v>780.0</v>
      </c>
      <c r="H8" s="19">
        <v>7176000.0</v>
      </c>
      <c r="I8" s="20" t="s">
        <v>21</v>
      </c>
      <c r="J8" s="21" t="s">
        <v>22</v>
      </c>
      <c r="K8" s="22">
        <v>359000.0</v>
      </c>
      <c r="L8" s="23">
        <f>AVERAGE(H8:H10)</f>
        <v>2818333.333</v>
      </c>
      <c r="M8" s="24">
        <v>7176000.0</v>
      </c>
    </row>
    <row r="9" ht="50.25" customHeight="1">
      <c r="A9" s="12" t="s">
        <v>23</v>
      </c>
      <c r="B9" s="25" t="s">
        <v>24</v>
      </c>
      <c r="C9" s="26" t="s">
        <v>25</v>
      </c>
      <c r="D9" s="27" t="s">
        <v>26</v>
      </c>
      <c r="E9" s="28">
        <v>164000.0</v>
      </c>
      <c r="F9" s="29" t="s">
        <v>27</v>
      </c>
      <c r="G9" s="18">
        <v>39.0</v>
      </c>
      <c r="H9" s="19">
        <v>359000.0</v>
      </c>
      <c r="I9" s="30" t="s">
        <v>21</v>
      </c>
      <c r="J9" s="31" t="s">
        <v>28</v>
      </c>
    </row>
    <row r="10" ht="50.25" customHeight="1">
      <c r="A10" s="12" t="s">
        <v>29</v>
      </c>
      <c r="B10" s="13" t="s">
        <v>30</v>
      </c>
      <c r="C10" s="32" t="s">
        <v>31</v>
      </c>
      <c r="D10" s="33" t="s">
        <v>32</v>
      </c>
      <c r="E10" s="34" t="s">
        <v>33</v>
      </c>
      <c r="F10" s="35" t="s">
        <v>34</v>
      </c>
      <c r="G10" s="18">
        <v>100.0</v>
      </c>
      <c r="H10" s="19">
        <v>920000.0</v>
      </c>
      <c r="I10" s="30" t="s">
        <v>21</v>
      </c>
      <c r="J10" s="36" t="s">
        <v>35</v>
      </c>
    </row>
    <row r="11" ht="15.0" hidden="1" customHeight="1">
      <c r="A11" s="37"/>
      <c r="B11" s="38"/>
      <c r="D11" s="38"/>
      <c r="E11" s="38"/>
      <c r="F11" s="38"/>
      <c r="G11" s="38"/>
      <c r="H11" s="38"/>
      <c r="I11" s="38"/>
      <c r="J11" s="38"/>
    </row>
    <row r="12" ht="12.75" customHeight="1"/>
    <row r="13" ht="138.75" customHeight="1">
      <c r="A13" s="39" t="s">
        <v>36</v>
      </c>
      <c r="B13" s="4"/>
      <c r="C13" s="4"/>
      <c r="D13" s="4"/>
      <c r="E13" s="4"/>
      <c r="F13" s="4"/>
      <c r="G13" s="4"/>
      <c r="H13" s="4"/>
      <c r="I13" s="4"/>
      <c r="J13" s="5"/>
    </row>
    <row r="14" ht="12.75" customHeight="1"/>
    <row r="15" ht="75.0" customHeight="1">
      <c r="A15" s="39" t="s">
        <v>37</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4.88"/>
    <col customWidth="1" min="12" max="12" width="15.38"/>
    <col customWidth="1" min="13" max="13" width="14.75"/>
    <col customWidth="1" min="14"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1" t="s">
        <v>38</v>
      </c>
      <c r="C7" s="41" t="s">
        <v>39</v>
      </c>
      <c r="D7" s="41" t="s">
        <v>40</v>
      </c>
      <c r="E7" s="41" t="s">
        <v>41</v>
      </c>
      <c r="F7" s="42" t="s">
        <v>42</v>
      </c>
      <c r="G7" s="43" t="s">
        <v>43</v>
      </c>
      <c r="H7" s="41" t="s">
        <v>9</v>
      </c>
      <c r="I7" s="41" t="s">
        <v>44</v>
      </c>
      <c r="J7" s="41" t="s">
        <v>45</v>
      </c>
      <c r="K7" s="10" t="s">
        <v>12</v>
      </c>
      <c r="L7" s="10" t="s">
        <v>13</v>
      </c>
      <c r="M7" s="10" t="s">
        <v>14</v>
      </c>
      <c r="N7" s="11"/>
      <c r="O7" s="11"/>
      <c r="P7" s="11"/>
      <c r="Q7" s="11"/>
      <c r="R7" s="11"/>
      <c r="S7" s="11"/>
      <c r="T7" s="11"/>
      <c r="U7" s="11"/>
      <c r="V7" s="11"/>
      <c r="W7" s="11"/>
      <c r="X7" s="11"/>
      <c r="Y7" s="11"/>
      <c r="Z7" s="11"/>
    </row>
    <row r="8" ht="75.0" customHeight="1">
      <c r="A8" s="41" t="s">
        <v>15</v>
      </c>
      <c r="B8" s="44" t="s">
        <v>46</v>
      </c>
      <c r="C8" s="45" t="s">
        <v>47</v>
      </c>
      <c r="D8" s="46" t="s">
        <v>48</v>
      </c>
      <c r="E8" s="47">
        <v>535999.0</v>
      </c>
      <c r="F8" s="47">
        <v>637838.0</v>
      </c>
      <c r="G8" s="48">
        <f t="shared" ref="G8:G9" si="1">(E8+F8)/3900</f>
        <v>300.9838462</v>
      </c>
      <c r="H8" s="49">
        <f>E8+F8</f>
        <v>1173837</v>
      </c>
      <c r="I8" s="46" t="s">
        <v>49</v>
      </c>
      <c r="J8" s="50" t="s">
        <v>50</v>
      </c>
      <c r="K8" s="51">
        <f>F9+E9</f>
        <v>1355610</v>
      </c>
      <c r="L8" s="23">
        <f>AVERAGE(H8:H10)</f>
        <v>1449049</v>
      </c>
      <c r="M8" s="52">
        <f>E10+F10</f>
        <v>1817700</v>
      </c>
    </row>
    <row r="9" ht="50.25" customHeight="1">
      <c r="A9" s="41" t="s">
        <v>23</v>
      </c>
      <c r="B9" s="53" t="s">
        <v>51</v>
      </c>
      <c r="C9" s="54" t="s">
        <v>52</v>
      </c>
      <c r="D9" s="55" t="s">
        <v>53</v>
      </c>
      <c r="E9" s="56">
        <v>619000.0</v>
      </c>
      <c r="F9" s="47">
        <v>736610.0</v>
      </c>
      <c r="G9" s="48">
        <f t="shared" si="1"/>
        <v>347.5923077</v>
      </c>
      <c r="H9" s="49">
        <f>F9+E9</f>
        <v>1355610</v>
      </c>
      <c r="I9" s="46" t="s">
        <v>49</v>
      </c>
      <c r="J9" s="57" t="s">
        <v>50</v>
      </c>
    </row>
    <row r="10" ht="50.25" customHeight="1">
      <c r="A10" s="41" t="s">
        <v>29</v>
      </c>
      <c r="B10" s="58" t="s">
        <v>54</v>
      </c>
      <c r="C10" s="32" t="s">
        <v>55</v>
      </c>
      <c r="D10" s="59" t="s">
        <v>56</v>
      </c>
      <c r="E10" s="60">
        <v>830000.0</v>
      </c>
      <c r="F10" s="47">
        <v>987700.0</v>
      </c>
      <c r="G10" s="48">
        <v>224.0</v>
      </c>
      <c r="H10" s="49">
        <f>E10+F10</f>
        <v>1817700</v>
      </c>
      <c r="I10" s="46" t="s">
        <v>49</v>
      </c>
      <c r="J10" s="57" t="s">
        <v>50</v>
      </c>
    </row>
    <row r="11" ht="15.0" hidden="1" customHeight="1">
      <c r="A11" s="37"/>
      <c r="B11" s="38"/>
      <c r="C11" s="38"/>
      <c r="D11" s="38"/>
      <c r="E11" s="38"/>
      <c r="F11" s="38"/>
      <c r="G11" s="38"/>
      <c r="H11" s="38"/>
      <c r="I11" s="38"/>
      <c r="J11" s="38" t="s">
        <v>57</v>
      </c>
    </row>
    <row r="12" ht="12.75" customHeight="1"/>
    <row r="13" ht="138.75" customHeight="1">
      <c r="A13" s="39" t="s">
        <v>58</v>
      </c>
      <c r="B13" s="4"/>
      <c r="C13" s="4"/>
      <c r="D13" s="4"/>
      <c r="E13" s="4"/>
      <c r="F13" s="4"/>
      <c r="G13" s="4"/>
      <c r="H13" s="4"/>
      <c r="I13" s="4"/>
      <c r="J13" s="5"/>
    </row>
    <row r="14" ht="12.75" customHeight="1"/>
    <row r="15" ht="75.0" customHeight="1">
      <c r="A15" s="39" t="s">
        <v>59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google_vignette" ref="C8"/>
    <hyperlink r:id="rId2" ref="C9"/>
    <hyperlink r:id="rId3" ref="C10"/>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4.88"/>
    <col customWidth="1" min="12" max="12" width="14.63"/>
    <col customWidth="1" min="13" max="13" width="14.38"/>
    <col customWidth="1" min="14"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1" t="s">
        <v>2</v>
      </c>
      <c r="B7" s="62" t="s">
        <v>60</v>
      </c>
      <c r="C7" s="62" t="s">
        <v>61</v>
      </c>
      <c r="D7" s="62" t="s">
        <v>62</v>
      </c>
      <c r="E7" s="62" t="s">
        <v>63</v>
      </c>
      <c r="F7" s="63" t="s">
        <v>64</v>
      </c>
      <c r="G7" s="64" t="s">
        <v>65</v>
      </c>
      <c r="H7" s="62" t="s">
        <v>9</v>
      </c>
      <c r="I7" s="62" t="s">
        <v>66</v>
      </c>
      <c r="J7" s="62" t="s">
        <v>67</v>
      </c>
      <c r="K7" s="10" t="s">
        <v>12</v>
      </c>
      <c r="L7" s="10" t="s">
        <v>13</v>
      </c>
      <c r="M7" s="10" t="s">
        <v>14</v>
      </c>
      <c r="N7" s="11"/>
      <c r="O7" s="11"/>
      <c r="P7" s="11"/>
      <c r="Q7" s="11"/>
      <c r="R7" s="11"/>
      <c r="S7" s="11"/>
      <c r="T7" s="11"/>
      <c r="U7" s="11"/>
      <c r="V7" s="11"/>
      <c r="W7" s="11"/>
      <c r="X7" s="11"/>
      <c r="Y7" s="11"/>
      <c r="Z7" s="11"/>
    </row>
    <row r="8" ht="50.25" customHeight="1">
      <c r="A8" s="12" t="s">
        <v>15</v>
      </c>
      <c r="B8" s="65" t="s">
        <v>68</v>
      </c>
      <c r="C8" s="32" t="s">
        <v>69</v>
      </c>
      <c r="D8" s="50" t="s">
        <v>70</v>
      </c>
      <c r="E8" s="60" t="s">
        <v>71</v>
      </c>
      <c r="F8" s="66" t="s">
        <v>72</v>
      </c>
      <c r="G8" s="67">
        <v>270.0</v>
      </c>
      <c r="H8" s="49" t="s">
        <v>73</v>
      </c>
      <c r="I8" s="46" t="s">
        <v>74</v>
      </c>
      <c r="J8" s="68" t="s">
        <v>75</v>
      </c>
      <c r="K8" s="69">
        <f>F9+E9</f>
        <v>480681</v>
      </c>
      <c r="L8" s="23">
        <f>AVERAGE(H8:H10)</f>
        <v>2499664.5</v>
      </c>
      <c r="M8" s="23">
        <f>G10*3900</f>
        <v>4518648</v>
      </c>
    </row>
    <row r="9" ht="77.25" customHeight="1">
      <c r="A9" s="12" t="s">
        <v>23</v>
      </c>
      <c r="B9" s="70" t="s">
        <v>76</v>
      </c>
      <c r="C9" s="32" t="s">
        <v>77</v>
      </c>
      <c r="D9" s="71" t="s">
        <v>78</v>
      </c>
      <c r="E9" s="60">
        <v>219000.0</v>
      </c>
      <c r="F9" s="72">
        <v>261681.0</v>
      </c>
      <c r="G9" s="48">
        <f>(E9)/3900</f>
        <v>56.15384615</v>
      </c>
      <c r="H9" s="49">
        <f>F9+E9</f>
        <v>480681</v>
      </c>
      <c r="I9" s="46" t="s">
        <v>74</v>
      </c>
      <c r="J9" s="73" t="s">
        <v>79</v>
      </c>
    </row>
    <row r="10" ht="50.25" customHeight="1">
      <c r="A10" s="12" t="s">
        <v>29</v>
      </c>
      <c r="B10" s="74" t="s">
        <v>80</v>
      </c>
      <c r="C10" s="32" t="s">
        <v>81</v>
      </c>
      <c r="D10" s="74" t="s">
        <v>82</v>
      </c>
      <c r="E10" s="75">
        <v>2080000.0</v>
      </c>
      <c r="F10" s="74">
        <v>2438648.0</v>
      </c>
      <c r="G10" s="48">
        <f>(E10+F10)/3900</f>
        <v>1158.627692</v>
      </c>
      <c r="H10" s="49">
        <f>G10*3900</f>
        <v>4518648</v>
      </c>
      <c r="I10" s="46" t="s">
        <v>74</v>
      </c>
      <c r="J10" s="76"/>
    </row>
    <row r="11" ht="15.0" hidden="1" customHeight="1">
      <c r="A11" s="37"/>
      <c r="B11" s="76"/>
      <c r="C11" s="46"/>
      <c r="D11" s="76"/>
      <c r="E11" s="76"/>
      <c r="F11" s="76"/>
      <c r="G11" s="77"/>
      <c r="H11" s="77"/>
      <c r="I11" s="77"/>
      <c r="J11" s="77"/>
    </row>
    <row r="12" ht="12.75" customHeight="1"/>
    <row r="13" ht="138.75" customHeight="1">
      <c r="A13" s="39" t="s">
        <v>83</v>
      </c>
      <c r="B13" s="4"/>
      <c r="C13" s="4"/>
      <c r="D13" s="4"/>
      <c r="E13" s="4"/>
      <c r="F13" s="4"/>
      <c r="G13" s="4"/>
      <c r="H13" s="4"/>
      <c r="I13" s="4"/>
      <c r="J13" s="5"/>
    </row>
    <row r="14" ht="12.75" customHeight="1"/>
    <row r="15" ht="75.0" customHeight="1">
      <c r="A15" s="39" t="s">
        <v>84</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A13:J13"/>
    <mergeCell ref="A15:J15"/>
    <mergeCell ref="D2:H2"/>
    <mergeCell ref="A5:J5"/>
    <mergeCell ref="J9:J10"/>
    <mergeCell ref="B10:B11"/>
    <mergeCell ref="D10:D11"/>
    <mergeCell ref="E10:E11"/>
    <mergeCell ref="F10:F11"/>
  </mergeCells>
  <hyperlinks>
    <hyperlink r:id="rId1" ref="C8"/>
    <hyperlink r:id="rId2" ref="C9"/>
    <hyperlink r:id="rId3" ref="C10"/>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4.88"/>
    <col customWidth="1" min="12" max="12" width="14.75"/>
    <col customWidth="1" min="13" max="13" width="14.38"/>
    <col customWidth="1" min="14"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62" t="s">
        <v>85</v>
      </c>
      <c r="C7" s="62" t="s">
        <v>86</v>
      </c>
      <c r="D7" s="62" t="s">
        <v>87</v>
      </c>
      <c r="E7" s="62" t="s">
        <v>88</v>
      </c>
      <c r="F7" s="63" t="s">
        <v>89</v>
      </c>
      <c r="G7" s="64" t="s">
        <v>90</v>
      </c>
      <c r="H7" s="62" t="s">
        <v>9</v>
      </c>
      <c r="I7" s="62" t="s">
        <v>91</v>
      </c>
      <c r="J7" s="62" t="s">
        <v>92</v>
      </c>
      <c r="K7" s="10" t="s">
        <v>12</v>
      </c>
      <c r="L7" s="10" t="s">
        <v>13</v>
      </c>
      <c r="M7" s="10" t="s">
        <v>14</v>
      </c>
      <c r="N7" s="11"/>
      <c r="O7" s="11"/>
      <c r="P7" s="11"/>
      <c r="Q7" s="11"/>
      <c r="R7" s="11"/>
      <c r="S7" s="11"/>
      <c r="T7" s="11"/>
      <c r="U7" s="11"/>
      <c r="V7" s="11"/>
      <c r="W7" s="11"/>
      <c r="X7" s="11"/>
      <c r="Y7" s="11"/>
      <c r="Z7" s="11"/>
    </row>
    <row r="8" ht="50.25" customHeight="1">
      <c r="A8" s="78" t="s">
        <v>15</v>
      </c>
      <c r="B8" s="46" t="s">
        <v>93</v>
      </c>
      <c r="C8" s="32" t="s">
        <v>94</v>
      </c>
      <c r="D8" s="50" t="s">
        <v>95</v>
      </c>
      <c r="E8" s="79">
        <v>1123762.0</v>
      </c>
      <c r="F8" s="80">
        <f t="shared" ref="F8:F10" si="1">E8*1.19</f>
        <v>1337276.78</v>
      </c>
      <c r="G8" s="81">
        <f t="shared" ref="G8:G10" si="2">(E8+F8)/3900</f>
        <v>631.0355846</v>
      </c>
      <c r="H8" s="49">
        <f>G8*3900</f>
        <v>2461038.78</v>
      </c>
      <c r="I8" s="46" t="s">
        <v>74</v>
      </c>
      <c r="J8" s="50" t="s">
        <v>96</v>
      </c>
      <c r="K8" s="82">
        <f>F9+E9</f>
        <v>637287.81</v>
      </c>
      <c r="L8" s="23">
        <f>AVERAGE(H8:H10)</f>
        <v>1609402.53</v>
      </c>
      <c r="M8" s="23">
        <f>G8*3900</f>
        <v>2461038.78</v>
      </c>
    </row>
    <row r="9" ht="50.25" customHeight="1">
      <c r="A9" s="78" t="s">
        <v>23</v>
      </c>
      <c r="B9" s="46" t="s">
        <v>97</v>
      </c>
      <c r="C9" s="32" t="s">
        <v>98</v>
      </c>
      <c r="D9" s="59" t="s">
        <v>99</v>
      </c>
      <c r="E9" s="79">
        <v>290999.0</v>
      </c>
      <c r="F9" s="80">
        <f t="shared" si="1"/>
        <v>346288.81</v>
      </c>
      <c r="G9" s="81">
        <f t="shared" si="2"/>
        <v>163.4071308</v>
      </c>
      <c r="H9" s="49">
        <f>F9+E9</f>
        <v>637287.81</v>
      </c>
      <c r="I9" s="46" t="s">
        <v>74</v>
      </c>
      <c r="J9" s="50" t="s">
        <v>100</v>
      </c>
    </row>
    <row r="10" ht="50.25" customHeight="1">
      <c r="A10" s="78" t="s">
        <v>29</v>
      </c>
      <c r="B10" s="83" t="s">
        <v>101</v>
      </c>
      <c r="C10" s="32" t="s">
        <v>102</v>
      </c>
      <c r="D10" s="46" t="s">
        <v>103</v>
      </c>
      <c r="E10" s="80">
        <v>789900.0</v>
      </c>
      <c r="F10" s="80">
        <f t="shared" si="1"/>
        <v>939981</v>
      </c>
      <c r="G10" s="81">
        <f t="shared" si="2"/>
        <v>443.5592308</v>
      </c>
      <c r="H10" s="49">
        <f>G10*3900</f>
        <v>1729881</v>
      </c>
      <c r="I10" s="46" t="s">
        <v>74</v>
      </c>
      <c r="J10" s="46" t="s">
        <v>104</v>
      </c>
    </row>
    <row r="11" ht="15.0" hidden="1" customHeight="1">
      <c r="A11" s="37"/>
      <c r="B11" s="84"/>
      <c r="C11" s="84"/>
      <c r="D11" s="84"/>
      <c r="E11" s="84"/>
      <c r="F11" s="84"/>
      <c r="G11" s="84"/>
      <c r="H11" s="84"/>
      <c r="I11" s="84"/>
      <c r="J11" s="84"/>
    </row>
    <row r="12" ht="12.75" customHeight="1"/>
    <row r="13" ht="138.75" customHeight="1">
      <c r="A13" s="39" t="s">
        <v>105</v>
      </c>
      <c r="B13" s="4"/>
      <c r="C13" s="4"/>
      <c r="D13" s="4"/>
      <c r="E13" s="4"/>
      <c r="F13" s="4"/>
      <c r="G13" s="4"/>
      <c r="H13" s="4"/>
      <c r="I13" s="4"/>
      <c r="J13" s="5"/>
    </row>
    <row r="14" ht="12.75" customHeight="1"/>
    <row r="15" ht="75.0" customHeight="1">
      <c r="A15" s="39" t="s">
        <v>106</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4.88"/>
    <col customWidth="1" min="12" max="12" width="10.0"/>
    <col customWidth="1" min="13" max="13" width="14.75"/>
    <col customWidth="1" min="14"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62" t="s">
        <v>107</v>
      </c>
      <c r="C7" s="62" t="s">
        <v>108</v>
      </c>
      <c r="D7" s="62" t="s">
        <v>109</v>
      </c>
      <c r="E7" s="62" t="s">
        <v>110</v>
      </c>
      <c r="F7" s="63" t="s">
        <v>111</v>
      </c>
      <c r="G7" s="85" t="s">
        <v>112</v>
      </c>
      <c r="H7" s="62" t="s">
        <v>9</v>
      </c>
      <c r="I7" s="62" t="s">
        <v>113</v>
      </c>
      <c r="J7" s="62" t="s">
        <v>114</v>
      </c>
      <c r="K7" s="10" t="s">
        <v>12</v>
      </c>
      <c r="L7" s="10" t="s">
        <v>13</v>
      </c>
      <c r="M7" s="10" t="s">
        <v>14</v>
      </c>
      <c r="N7" s="11"/>
      <c r="O7" s="11"/>
      <c r="P7" s="11"/>
      <c r="Q7" s="11"/>
      <c r="R7" s="11"/>
      <c r="S7" s="11"/>
      <c r="T7" s="11"/>
      <c r="U7" s="11"/>
      <c r="V7" s="11"/>
      <c r="W7" s="11"/>
      <c r="X7" s="11"/>
      <c r="Y7" s="11"/>
      <c r="Z7" s="11"/>
    </row>
    <row r="8" ht="50.25" customHeight="1">
      <c r="A8" s="78" t="s">
        <v>15</v>
      </c>
      <c r="B8" s="46" t="s">
        <v>115</v>
      </c>
      <c r="C8" s="86" t="s">
        <v>116</v>
      </c>
      <c r="D8" s="46" t="s">
        <v>117</v>
      </c>
      <c r="E8" s="80" t="s">
        <v>118</v>
      </c>
      <c r="F8" s="80" t="str">
        <f t="shared" ref="F8:F10" si="1">E8*1.19</f>
        <v>#VALUE!</v>
      </c>
      <c r="G8" s="48" t="str">
        <f t="shared" ref="G8:G10" si="2">(F8+E8)/3900</f>
        <v>#VALUE!</v>
      </c>
      <c r="H8" s="49" t="str">
        <f t="shared" ref="H8:H10" si="3">G8*3900</f>
        <v>#VALUE!</v>
      </c>
      <c r="I8" s="46" t="s">
        <v>118</v>
      </c>
      <c r="J8" s="87" t="s">
        <v>119</v>
      </c>
    </row>
    <row r="9" ht="50.25" customHeight="1">
      <c r="A9" s="78" t="s">
        <v>23</v>
      </c>
      <c r="B9" s="70" t="s">
        <v>120</v>
      </c>
      <c r="C9" s="32" t="s">
        <v>121</v>
      </c>
      <c r="D9" s="50" t="s">
        <v>122</v>
      </c>
      <c r="E9" s="79" t="s">
        <v>118</v>
      </c>
      <c r="F9" s="80" t="str">
        <f t="shared" si="1"/>
        <v>#VALUE!</v>
      </c>
      <c r="G9" s="48" t="str">
        <f t="shared" si="2"/>
        <v>#VALUE!</v>
      </c>
      <c r="H9" s="49" t="str">
        <f t="shared" si="3"/>
        <v>#VALUE!</v>
      </c>
      <c r="I9" s="46" t="s">
        <v>118</v>
      </c>
      <c r="J9" s="50" t="s">
        <v>123</v>
      </c>
    </row>
    <row r="10" ht="50.25" customHeight="1">
      <c r="A10" s="78" t="s">
        <v>29</v>
      </c>
      <c r="B10" s="88" t="s">
        <v>124</v>
      </c>
      <c r="C10" s="32" t="s">
        <v>125</v>
      </c>
      <c r="D10" s="50" t="s">
        <v>126</v>
      </c>
      <c r="E10" s="79" t="s">
        <v>127</v>
      </c>
      <c r="F10" s="80" t="str">
        <f t="shared" si="1"/>
        <v>#VALUE!</v>
      </c>
      <c r="G10" s="48" t="str">
        <f t="shared" si="2"/>
        <v>#VALUE!</v>
      </c>
      <c r="H10" s="49" t="str">
        <f t="shared" si="3"/>
        <v>#VALUE!</v>
      </c>
      <c r="I10" s="46" t="s">
        <v>118</v>
      </c>
      <c r="J10" s="46" t="s">
        <v>128</v>
      </c>
    </row>
    <row r="11" ht="15.0" hidden="1" customHeight="1">
      <c r="A11" s="37"/>
      <c r="B11" s="84"/>
      <c r="C11" s="84"/>
      <c r="D11" s="84"/>
      <c r="E11" s="84"/>
      <c r="F11" s="84"/>
      <c r="G11" s="84"/>
      <c r="H11" s="84"/>
      <c r="I11" s="84"/>
      <c r="J11" s="84"/>
    </row>
    <row r="12" ht="12.75" customHeight="1"/>
    <row r="13" ht="138.75" customHeight="1">
      <c r="A13" s="39" t="s">
        <v>129</v>
      </c>
      <c r="B13" s="4"/>
      <c r="C13" s="4"/>
      <c r="D13" s="4"/>
      <c r="E13" s="4"/>
      <c r="F13" s="4"/>
      <c r="G13" s="4"/>
      <c r="H13" s="4"/>
      <c r="I13" s="4"/>
      <c r="J13" s="5"/>
    </row>
    <row r="14" ht="12.75" customHeight="1"/>
    <row r="15" ht="75.0" customHeight="1">
      <c r="A15" s="39" t="s">
        <v>130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9"/>
    <hyperlink r:id="rId2" ref="C10"/>
  </hyperlinks>
  <printOptions/>
  <pageMargins bottom="0.75" footer="0.0" header="0.0" left="0.7" right="0.7" top="0.75"/>
  <pageSetup orientation="landscape"/>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4.88"/>
    <col customWidth="1" min="12" max="12" width="16.75"/>
    <col customWidth="1" min="13" max="13" width="14.38"/>
    <col customWidth="1" min="14"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62" t="s">
        <v>131</v>
      </c>
      <c r="C7" s="62" t="s">
        <v>132</v>
      </c>
      <c r="D7" s="62" t="s">
        <v>133</v>
      </c>
      <c r="E7" s="62" t="s">
        <v>134</v>
      </c>
      <c r="F7" s="63" t="s">
        <v>135</v>
      </c>
      <c r="G7" s="64" t="s">
        <v>136</v>
      </c>
      <c r="H7" s="62" t="s">
        <v>9</v>
      </c>
      <c r="I7" s="62" t="s">
        <v>137</v>
      </c>
      <c r="J7" s="62" t="s">
        <v>138</v>
      </c>
      <c r="K7" s="10" t="s">
        <v>12</v>
      </c>
      <c r="L7" s="10" t="s">
        <v>13</v>
      </c>
      <c r="M7" s="10" t="s">
        <v>14</v>
      </c>
      <c r="N7" s="11"/>
      <c r="O7" s="11"/>
      <c r="P7" s="11"/>
      <c r="Q7" s="11"/>
      <c r="R7" s="11"/>
      <c r="S7" s="11"/>
      <c r="T7" s="11"/>
      <c r="U7" s="11"/>
      <c r="V7" s="11"/>
      <c r="W7" s="11"/>
      <c r="X7" s="11"/>
      <c r="Y7" s="11"/>
      <c r="Z7" s="11"/>
    </row>
    <row r="8" ht="50.25" customHeight="1">
      <c r="A8" s="78" t="s">
        <v>15</v>
      </c>
      <c r="B8" s="46" t="s">
        <v>139</v>
      </c>
      <c r="C8" s="32" t="s">
        <v>140</v>
      </c>
      <c r="D8" s="70" t="s">
        <v>141</v>
      </c>
      <c r="E8" s="80">
        <v>3588914.0</v>
      </c>
      <c r="F8" s="80">
        <f t="shared" ref="F8:F10" si="1">E8*1.19</f>
        <v>4270807.66</v>
      </c>
      <c r="G8" s="48">
        <f t="shared" ref="G8:G10" si="2">(F8+E8)/3900</f>
        <v>2015.313246</v>
      </c>
      <c r="H8" s="49">
        <f>G8*3900</f>
        <v>7859721.66</v>
      </c>
      <c r="I8" s="46" t="s">
        <v>49</v>
      </c>
      <c r="J8" s="50" t="s">
        <v>142</v>
      </c>
      <c r="K8" s="82">
        <f>F9+E9</f>
        <v>2422683.12</v>
      </c>
      <c r="L8" s="23">
        <f>AVERAGE(H8:H10)</f>
        <v>4511769.38</v>
      </c>
      <c r="M8" s="23">
        <f>G8*3900</f>
        <v>7859721.66</v>
      </c>
    </row>
    <row r="9" ht="50.25" customHeight="1">
      <c r="A9" s="78" t="s">
        <v>23</v>
      </c>
      <c r="B9" s="70" t="s">
        <v>143</v>
      </c>
      <c r="C9" s="32" t="s">
        <v>144</v>
      </c>
      <c r="D9" s="50" t="s">
        <v>145</v>
      </c>
      <c r="E9" s="79">
        <v>1106248.0</v>
      </c>
      <c r="F9" s="80">
        <f t="shared" si="1"/>
        <v>1316435.12</v>
      </c>
      <c r="G9" s="48">
        <f t="shared" si="2"/>
        <v>621.2008</v>
      </c>
      <c r="H9" s="49">
        <f>F9+E9</f>
        <v>2422683.12</v>
      </c>
      <c r="I9" s="46" t="s">
        <v>49</v>
      </c>
      <c r="J9" s="50" t="s">
        <v>146</v>
      </c>
    </row>
    <row r="10" ht="50.25" customHeight="1">
      <c r="A10" s="78" t="s">
        <v>29</v>
      </c>
      <c r="B10" s="89" t="s">
        <v>147</v>
      </c>
      <c r="C10" s="32" t="s">
        <v>148</v>
      </c>
      <c r="D10" s="90" t="s">
        <v>149</v>
      </c>
      <c r="E10" s="79">
        <v>1485344.0</v>
      </c>
      <c r="F10" s="80">
        <f t="shared" si="1"/>
        <v>1767559.36</v>
      </c>
      <c r="G10" s="48">
        <f t="shared" si="2"/>
        <v>834.0777846</v>
      </c>
      <c r="H10" s="49">
        <f>G10*3900</f>
        <v>3252903.36</v>
      </c>
      <c r="I10" s="46" t="s">
        <v>49</v>
      </c>
      <c r="J10" s="91" t="s">
        <v>150</v>
      </c>
    </row>
    <row r="11" ht="15.0" hidden="1" customHeight="1">
      <c r="A11" s="37"/>
      <c r="B11" s="84"/>
      <c r="C11" s="84"/>
      <c r="D11" s="84"/>
      <c r="E11" s="84"/>
      <c r="F11" s="84"/>
      <c r="G11" s="84"/>
      <c r="H11" s="84"/>
      <c r="I11" s="84"/>
      <c r="J11" s="84"/>
    </row>
    <row r="12" ht="12.75" customHeight="1"/>
    <row r="13" ht="138.75" customHeight="1">
      <c r="A13" s="39" t="s">
        <v>151</v>
      </c>
      <c r="B13" s="4"/>
      <c r="C13" s="4"/>
      <c r="D13" s="4"/>
      <c r="E13" s="4"/>
      <c r="F13" s="4"/>
      <c r="G13" s="4"/>
      <c r="H13" s="4"/>
      <c r="I13" s="4"/>
      <c r="J13" s="5"/>
    </row>
    <row r="14" ht="12.75" customHeight="1"/>
    <row r="15" ht="75.0" customHeight="1">
      <c r="A15" s="39" t="s">
        <v>152</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4.88"/>
    <col customWidth="1" min="12" max="12" width="13.25"/>
    <col customWidth="1" min="13" max="13" width="14.38"/>
    <col customWidth="1" min="14" max="26" width="10.0"/>
  </cols>
  <sheetData>
    <row r="1" ht="12.75" customHeight="1"/>
    <row r="2" ht="27.75" customHeight="1">
      <c r="D2" s="2" t="s">
        <v>0</v>
      </c>
    </row>
    <row r="3" ht="12.75" customHeight="1"/>
    <row r="4" ht="12.75" customHeight="1"/>
    <row r="5" ht="43.5" customHeight="1">
      <c r="A5" s="92">
        <v>0.0</v>
      </c>
      <c r="B5" s="4"/>
      <c r="C5" s="4"/>
      <c r="D5" s="4"/>
      <c r="E5" s="4"/>
      <c r="F5" s="4"/>
      <c r="G5" s="4"/>
      <c r="H5" s="4"/>
      <c r="I5" s="4"/>
      <c r="J5" s="5"/>
    </row>
    <row r="6" ht="15.75" customHeight="1"/>
    <row r="7" ht="75.75" customHeight="1">
      <c r="A7" s="6" t="s">
        <v>2</v>
      </c>
      <c r="B7" s="62" t="s">
        <v>153</v>
      </c>
      <c r="C7" s="62" t="s">
        <v>154</v>
      </c>
      <c r="D7" s="62" t="s">
        <v>155</v>
      </c>
      <c r="E7" s="62" t="s">
        <v>156</v>
      </c>
      <c r="F7" s="63" t="s">
        <v>157</v>
      </c>
      <c r="G7" s="64" t="s">
        <v>158</v>
      </c>
      <c r="H7" s="62" t="s">
        <v>9</v>
      </c>
      <c r="I7" s="62" t="s">
        <v>159</v>
      </c>
      <c r="J7" s="62" t="s">
        <v>160</v>
      </c>
      <c r="K7" s="10" t="s">
        <v>12</v>
      </c>
      <c r="L7" s="10" t="s">
        <v>13</v>
      </c>
      <c r="M7" s="10" t="s">
        <v>14</v>
      </c>
      <c r="N7" s="11"/>
      <c r="O7" s="11"/>
      <c r="P7" s="11"/>
      <c r="Q7" s="11"/>
      <c r="R7" s="11"/>
      <c r="S7" s="11"/>
      <c r="T7" s="11"/>
      <c r="U7" s="11"/>
      <c r="V7" s="11"/>
      <c r="W7" s="11"/>
      <c r="X7" s="11"/>
      <c r="Y7" s="11"/>
      <c r="Z7" s="11"/>
    </row>
    <row r="8" ht="50.25" customHeight="1">
      <c r="A8" s="78" t="s">
        <v>15</v>
      </c>
      <c r="B8" s="46" t="s">
        <v>161</v>
      </c>
      <c r="C8" s="32" t="s">
        <v>162</v>
      </c>
      <c r="D8" s="71" t="s">
        <v>163</v>
      </c>
      <c r="E8" s="93">
        <v>519000.0</v>
      </c>
      <c r="F8" s="80">
        <f t="shared" ref="F8:F10" si="1">E8*1.19</f>
        <v>617610</v>
      </c>
      <c r="G8" s="48">
        <f t="shared" ref="G8:G10" si="2">(E8+F8)/3900</f>
        <v>291.4384615</v>
      </c>
      <c r="H8" s="49">
        <f t="shared" ref="H8:H10" si="3">G8*3900</f>
        <v>1136610</v>
      </c>
      <c r="I8" s="46" t="s">
        <v>49</v>
      </c>
      <c r="J8" s="94" t="s">
        <v>164</v>
      </c>
      <c r="K8" s="51">
        <f>G10*3900</f>
        <v>533100.75</v>
      </c>
      <c r="L8" s="23">
        <f>AVERAGE(H8:H10)</f>
        <v>737248.17</v>
      </c>
      <c r="M8" s="23">
        <f>G8*3900</f>
        <v>1136610</v>
      </c>
    </row>
    <row r="9" ht="50.25" customHeight="1">
      <c r="A9" s="78" t="s">
        <v>23</v>
      </c>
      <c r="B9" s="70" t="s">
        <v>165</v>
      </c>
      <c r="C9" s="32" t="s">
        <v>166</v>
      </c>
      <c r="D9" s="59" t="s">
        <v>163</v>
      </c>
      <c r="E9" s="95">
        <v>247504.0</v>
      </c>
      <c r="F9" s="80">
        <f t="shared" si="1"/>
        <v>294529.76</v>
      </c>
      <c r="G9" s="48">
        <f t="shared" si="2"/>
        <v>138.9830154</v>
      </c>
      <c r="H9" s="49">
        <f t="shared" si="3"/>
        <v>542033.76</v>
      </c>
      <c r="I9" s="46" t="s">
        <v>49</v>
      </c>
      <c r="J9" s="57" t="s">
        <v>164</v>
      </c>
    </row>
    <row r="10" ht="50.25" customHeight="1">
      <c r="A10" s="78" t="s">
        <v>29</v>
      </c>
      <c r="B10" s="74" t="s">
        <v>167</v>
      </c>
      <c r="C10" s="32" t="s">
        <v>168</v>
      </c>
      <c r="D10" s="74" t="s">
        <v>163</v>
      </c>
      <c r="E10" s="96">
        <v>243425.0</v>
      </c>
      <c r="F10" s="96">
        <f t="shared" si="1"/>
        <v>289675.75</v>
      </c>
      <c r="G10" s="48">
        <f t="shared" si="2"/>
        <v>136.6925</v>
      </c>
      <c r="H10" s="49">
        <f t="shared" si="3"/>
        <v>533100.75</v>
      </c>
      <c r="I10" s="46" t="s">
        <v>49</v>
      </c>
      <c r="J10" s="97" t="s">
        <v>164</v>
      </c>
    </row>
    <row r="11" ht="15.0" hidden="1" customHeight="1">
      <c r="A11" s="98"/>
      <c r="B11" s="76"/>
      <c r="C11" s="46"/>
      <c r="D11" s="76"/>
      <c r="E11" s="76"/>
      <c r="F11" s="76"/>
      <c r="G11" s="77"/>
      <c r="H11" s="77"/>
      <c r="I11" s="77"/>
      <c r="J11" s="77"/>
    </row>
    <row r="12" ht="12.75" customHeight="1"/>
    <row r="13" ht="138.75" customHeight="1">
      <c r="A13" s="39" t="s">
        <v>169</v>
      </c>
      <c r="B13" s="4"/>
      <c r="C13" s="4"/>
      <c r="D13" s="4"/>
      <c r="E13" s="4"/>
      <c r="F13" s="4"/>
      <c r="G13" s="4"/>
      <c r="H13" s="4"/>
      <c r="I13" s="4"/>
      <c r="J13" s="5"/>
    </row>
    <row r="14" ht="12.75" customHeight="1"/>
    <row r="15" ht="75.0" customHeight="1">
      <c r="A15" s="39" t="s">
        <v>170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D2:H2"/>
    <mergeCell ref="A5:J5"/>
    <mergeCell ref="B10:B11"/>
    <mergeCell ref="D10:D11"/>
    <mergeCell ref="E10:E11"/>
    <mergeCell ref="F10:F11"/>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4.88"/>
    <col customWidth="1" min="12" max="12" width="15.25"/>
    <col customWidth="1" min="13" max="13" width="14.88"/>
    <col customWidth="1" min="14"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62" t="s">
        <v>171</v>
      </c>
      <c r="C7" s="62" t="s">
        <v>172</v>
      </c>
      <c r="D7" s="62" t="s">
        <v>173</v>
      </c>
      <c r="E7" s="62" t="s">
        <v>174</v>
      </c>
      <c r="F7" s="63" t="s">
        <v>175</v>
      </c>
      <c r="G7" s="64" t="s">
        <v>176</v>
      </c>
      <c r="H7" s="62" t="s">
        <v>9</v>
      </c>
      <c r="I7" s="62" t="s">
        <v>177</v>
      </c>
      <c r="J7" s="62" t="s">
        <v>178</v>
      </c>
      <c r="K7" s="10" t="s">
        <v>12</v>
      </c>
      <c r="L7" s="10" t="s">
        <v>13</v>
      </c>
      <c r="M7" s="10" t="s">
        <v>14</v>
      </c>
      <c r="N7" s="11"/>
      <c r="O7" s="11"/>
      <c r="P7" s="11"/>
      <c r="Q7" s="11"/>
      <c r="R7" s="11"/>
      <c r="S7" s="11"/>
      <c r="T7" s="11"/>
      <c r="U7" s="11"/>
      <c r="V7" s="11"/>
      <c r="W7" s="11"/>
      <c r="X7" s="11"/>
      <c r="Y7" s="11"/>
      <c r="Z7" s="11"/>
    </row>
    <row r="8" ht="50.25" customHeight="1">
      <c r="A8" s="78" t="s">
        <v>15</v>
      </c>
      <c r="B8" s="46" t="s">
        <v>179</v>
      </c>
      <c r="C8" s="32" t="s">
        <v>180</v>
      </c>
      <c r="D8" s="50" t="s">
        <v>181</v>
      </c>
      <c r="E8" s="79">
        <v>6499000.0</v>
      </c>
      <c r="F8" s="79">
        <f t="shared" ref="F8:F10" si="1">E8*1.19</f>
        <v>7733810</v>
      </c>
      <c r="G8" s="48">
        <f t="shared" ref="G8:G10" si="2">(E8+F8)/3900</f>
        <v>3649.438462</v>
      </c>
      <c r="H8" s="49">
        <f t="shared" ref="H8:H10" si="3">G8*3900</f>
        <v>14232810</v>
      </c>
      <c r="I8" s="46" t="s">
        <v>74</v>
      </c>
      <c r="J8" s="87" t="s">
        <v>182</v>
      </c>
      <c r="K8" s="51">
        <f>G9*3900</f>
        <v>6285081</v>
      </c>
      <c r="L8" s="23">
        <f>AVERAGE(H8:H10)</f>
        <v>16956969.98</v>
      </c>
      <c r="M8" s="23">
        <f>G10*3900</f>
        <v>30353018.94</v>
      </c>
    </row>
    <row r="9" ht="50.25" customHeight="1">
      <c r="A9" s="78" t="s">
        <v>23</v>
      </c>
      <c r="B9" s="70" t="s">
        <v>183</v>
      </c>
      <c r="C9" s="32" t="s">
        <v>184</v>
      </c>
      <c r="D9" s="59" t="s">
        <v>181</v>
      </c>
      <c r="E9" s="80">
        <v>2869900.0</v>
      </c>
      <c r="F9" s="79">
        <f t="shared" si="1"/>
        <v>3415181</v>
      </c>
      <c r="G9" s="48">
        <f t="shared" si="2"/>
        <v>1611.559231</v>
      </c>
      <c r="H9" s="49">
        <f t="shared" si="3"/>
        <v>6285081</v>
      </c>
      <c r="I9" s="46" t="s">
        <v>74</v>
      </c>
      <c r="J9" s="99" t="s">
        <v>185</v>
      </c>
    </row>
    <row r="10" ht="50.25" customHeight="1">
      <c r="A10" s="78" t="s">
        <v>29</v>
      </c>
      <c r="B10" s="46" t="s">
        <v>186</v>
      </c>
      <c r="C10" s="32" t="s">
        <v>187</v>
      </c>
      <c r="D10" s="59" t="s">
        <v>181</v>
      </c>
      <c r="E10" s="79">
        <v>1.3859826E7</v>
      </c>
      <c r="F10" s="79">
        <f t="shared" si="1"/>
        <v>16493192.94</v>
      </c>
      <c r="G10" s="48">
        <f t="shared" si="2"/>
        <v>7782.825369</v>
      </c>
      <c r="H10" s="49">
        <f t="shared" si="3"/>
        <v>30353018.94</v>
      </c>
      <c r="I10" s="46" t="s">
        <v>74</v>
      </c>
      <c r="J10" s="99" t="s">
        <v>188</v>
      </c>
    </row>
    <row r="11" ht="15.0" hidden="1" customHeight="1">
      <c r="A11" s="37"/>
      <c r="B11" s="84"/>
      <c r="C11" s="84"/>
      <c r="D11" s="84"/>
      <c r="E11" s="84"/>
      <c r="F11" s="84"/>
      <c r="G11" s="84"/>
      <c r="H11" s="84"/>
      <c r="I11" s="84"/>
      <c r="J11" s="84"/>
    </row>
    <row r="12" ht="12.75" customHeight="1"/>
    <row r="13" ht="138.75" customHeight="1">
      <c r="A13" s="39" t="s">
        <v>189</v>
      </c>
      <c r="B13" s="4"/>
      <c r="C13" s="4"/>
      <c r="D13" s="4"/>
      <c r="E13" s="4"/>
      <c r="F13" s="4"/>
      <c r="G13" s="4"/>
      <c r="H13" s="4"/>
      <c r="I13" s="4"/>
      <c r="J13" s="5"/>
    </row>
    <row r="14" ht="12.75" customHeight="1"/>
    <row r="15" ht="75.0" customHeight="1">
      <c r="A15" s="39" t="s">
        <v>190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4.88"/>
    <col customWidth="1" min="12" max="12" width="15.38"/>
    <col customWidth="1" min="13" max="13" width="14.75"/>
    <col customWidth="1" min="14"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1" t="s">
        <v>191</v>
      </c>
      <c r="C7" s="41" t="s">
        <v>192</v>
      </c>
      <c r="D7" s="41" t="s">
        <v>193</v>
      </c>
      <c r="E7" s="41" t="s">
        <v>194</v>
      </c>
      <c r="F7" s="42" t="s">
        <v>195</v>
      </c>
      <c r="G7" s="43" t="s">
        <v>196</v>
      </c>
      <c r="H7" s="41" t="s">
        <v>9</v>
      </c>
      <c r="I7" s="41" t="s">
        <v>197</v>
      </c>
      <c r="J7" s="41" t="s">
        <v>198</v>
      </c>
      <c r="K7" s="10" t="s">
        <v>12</v>
      </c>
      <c r="L7" s="10" t="s">
        <v>13</v>
      </c>
      <c r="M7" s="10" t="s">
        <v>14</v>
      </c>
      <c r="N7" s="11"/>
      <c r="O7" s="11"/>
      <c r="P7" s="11"/>
      <c r="Q7" s="11"/>
      <c r="R7" s="11"/>
      <c r="S7" s="11"/>
      <c r="T7" s="11"/>
      <c r="U7" s="11"/>
      <c r="V7" s="11"/>
      <c r="W7" s="11"/>
      <c r="X7" s="11"/>
      <c r="Y7" s="11"/>
      <c r="Z7" s="11"/>
    </row>
    <row r="8" ht="75.0" customHeight="1">
      <c r="A8" s="41" t="s">
        <v>15</v>
      </c>
      <c r="B8" s="44" t="s">
        <v>46</v>
      </c>
      <c r="C8" s="45" t="s">
        <v>47</v>
      </c>
      <c r="D8" s="46" t="s">
        <v>48</v>
      </c>
      <c r="E8" s="47">
        <v>535999.0</v>
      </c>
      <c r="F8" s="47">
        <v>637838.0</v>
      </c>
      <c r="G8" s="48">
        <f t="shared" ref="G8:G9" si="1">(E8+F8)/3900</f>
        <v>300.9838462</v>
      </c>
      <c r="H8" s="49">
        <f>E8+F8</f>
        <v>1173837</v>
      </c>
      <c r="I8" s="46" t="s">
        <v>49</v>
      </c>
      <c r="J8" s="50" t="s">
        <v>50</v>
      </c>
      <c r="K8" s="51">
        <f>F9+E9</f>
        <v>1355610</v>
      </c>
      <c r="L8" s="23">
        <f>AVERAGE(H8:H10)</f>
        <v>1449049</v>
      </c>
      <c r="M8" s="52">
        <f>E10+F10</f>
        <v>1817700</v>
      </c>
    </row>
    <row r="9" ht="50.25" customHeight="1">
      <c r="A9" s="41" t="s">
        <v>23</v>
      </c>
      <c r="B9" s="53" t="s">
        <v>51</v>
      </c>
      <c r="C9" s="54" t="s">
        <v>52</v>
      </c>
      <c r="D9" s="55" t="s">
        <v>53</v>
      </c>
      <c r="E9" s="56">
        <v>619000.0</v>
      </c>
      <c r="F9" s="47">
        <v>736610.0</v>
      </c>
      <c r="G9" s="48">
        <f t="shared" si="1"/>
        <v>347.5923077</v>
      </c>
      <c r="H9" s="49">
        <f>F9+E9</f>
        <v>1355610</v>
      </c>
      <c r="I9" s="46" t="s">
        <v>49</v>
      </c>
      <c r="J9" s="57" t="s">
        <v>50</v>
      </c>
    </row>
    <row r="10" ht="50.25" customHeight="1">
      <c r="A10" s="41" t="s">
        <v>29</v>
      </c>
      <c r="B10" s="58" t="s">
        <v>54</v>
      </c>
      <c r="C10" s="32" t="s">
        <v>55</v>
      </c>
      <c r="D10" s="59" t="s">
        <v>56</v>
      </c>
      <c r="E10" s="60">
        <v>830000.0</v>
      </c>
      <c r="F10" s="47">
        <v>987700.0</v>
      </c>
      <c r="G10" s="48">
        <v>224.0</v>
      </c>
      <c r="H10" s="49">
        <f>E10+F10</f>
        <v>1817700</v>
      </c>
      <c r="I10" s="46" t="s">
        <v>49</v>
      </c>
      <c r="J10" s="57" t="s">
        <v>50</v>
      </c>
    </row>
    <row r="11" ht="15.0" hidden="1" customHeight="1">
      <c r="A11" s="37"/>
      <c r="B11" s="38"/>
      <c r="C11" s="38"/>
      <c r="D11" s="38"/>
      <c r="E11" s="38"/>
      <c r="F11" s="38"/>
      <c r="G11" s="38"/>
      <c r="H11" s="38"/>
      <c r="I11" s="38"/>
      <c r="J11" s="38" t="s">
        <v>57</v>
      </c>
    </row>
    <row r="12" ht="12.75" customHeight="1"/>
    <row r="13" ht="138.75" customHeight="1">
      <c r="A13" s="39" t="s">
        <v>199</v>
      </c>
      <c r="B13" s="4"/>
      <c r="C13" s="4"/>
      <c r="D13" s="4"/>
      <c r="E13" s="4"/>
      <c r="F13" s="4"/>
      <c r="G13" s="4"/>
      <c r="H13" s="4"/>
      <c r="I13" s="4"/>
      <c r="J13" s="5"/>
    </row>
    <row r="14" ht="12.75" customHeight="1"/>
    <row r="15" ht="75.0" customHeight="1">
      <c r="A15" s="39" t="s">
        <v>200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google_vignette" ref="C8"/>
    <hyperlink r:id="rId2" ref="C9"/>
    <hyperlink r:id="rId3" ref="C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4.88"/>
    <col customWidth="1" min="12" max="12" width="14.75"/>
    <col customWidth="1" min="13" max="13" width="14.38"/>
    <col customWidth="1" min="14"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62" t="s">
        <v>201</v>
      </c>
      <c r="C7" s="62" t="s">
        <v>202</v>
      </c>
      <c r="D7" s="62" t="s">
        <v>203</v>
      </c>
      <c r="E7" s="62" t="s">
        <v>204</v>
      </c>
      <c r="F7" s="63" t="s">
        <v>205</v>
      </c>
      <c r="G7" s="64" t="s">
        <v>206</v>
      </c>
      <c r="H7" s="62" t="s">
        <v>9</v>
      </c>
      <c r="I7" s="62" t="s">
        <v>207</v>
      </c>
      <c r="J7" s="62" t="s">
        <v>208</v>
      </c>
      <c r="K7" s="10" t="s">
        <v>12</v>
      </c>
      <c r="L7" s="10" t="s">
        <v>13</v>
      </c>
      <c r="M7" s="10" t="s">
        <v>14</v>
      </c>
      <c r="N7" s="11"/>
      <c r="O7" s="11"/>
      <c r="P7" s="11"/>
      <c r="Q7" s="11"/>
      <c r="R7" s="11"/>
      <c r="S7" s="11"/>
      <c r="T7" s="11"/>
      <c r="U7" s="11"/>
      <c r="V7" s="11"/>
      <c r="W7" s="11"/>
      <c r="X7" s="11"/>
      <c r="Y7" s="11"/>
      <c r="Z7" s="11"/>
    </row>
    <row r="8" ht="50.25" customHeight="1">
      <c r="A8" s="78" t="s">
        <v>15</v>
      </c>
      <c r="B8" s="46" t="s">
        <v>93</v>
      </c>
      <c r="C8" s="32" t="s">
        <v>94</v>
      </c>
      <c r="D8" s="50" t="s">
        <v>95</v>
      </c>
      <c r="E8" s="79">
        <v>1123762.0</v>
      </c>
      <c r="F8" s="80">
        <f t="shared" ref="F8:F10" si="1">E8*1.19</f>
        <v>1337276.78</v>
      </c>
      <c r="G8" s="81">
        <f t="shared" ref="G8:G10" si="2">(E8+F8)/3900</f>
        <v>631.0355846</v>
      </c>
      <c r="H8" s="49">
        <f>G8*3900</f>
        <v>2461038.78</v>
      </c>
      <c r="I8" s="46" t="s">
        <v>74</v>
      </c>
      <c r="J8" s="50" t="s">
        <v>96</v>
      </c>
      <c r="K8" s="82">
        <f>F9+E9</f>
        <v>637287.81</v>
      </c>
      <c r="L8" s="23">
        <f>AVERAGE(H8:H10)</f>
        <v>1609402.53</v>
      </c>
      <c r="M8" s="23">
        <f>G8*3900</f>
        <v>2461038.78</v>
      </c>
    </row>
    <row r="9" ht="50.25" customHeight="1">
      <c r="A9" s="78" t="s">
        <v>23</v>
      </c>
      <c r="B9" s="46" t="s">
        <v>97</v>
      </c>
      <c r="C9" s="32" t="s">
        <v>98</v>
      </c>
      <c r="D9" s="59" t="s">
        <v>99</v>
      </c>
      <c r="E9" s="79">
        <v>290999.0</v>
      </c>
      <c r="F9" s="80">
        <f t="shared" si="1"/>
        <v>346288.81</v>
      </c>
      <c r="G9" s="81">
        <f t="shared" si="2"/>
        <v>163.4071308</v>
      </c>
      <c r="H9" s="49">
        <f>F9+E9</f>
        <v>637287.81</v>
      </c>
      <c r="I9" s="46" t="s">
        <v>74</v>
      </c>
      <c r="J9" s="50" t="s">
        <v>100</v>
      </c>
    </row>
    <row r="10" ht="50.25" customHeight="1">
      <c r="A10" s="78" t="s">
        <v>29</v>
      </c>
      <c r="B10" s="83" t="s">
        <v>101</v>
      </c>
      <c r="C10" s="32" t="s">
        <v>102</v>
      </c>
      <c r="D10" s="46" t="s">
        <v>103</v>
      </c>
      <c r="E10" s="80">
        <v>789900.0</v>
      </c>
      <c r="F10" s="80">
        <f t="shared" si="1"/>
        <v>939981</v>
      </c>
      <c r="G10" s="81">
        <f t="shared" si="2"/>
        <v>443.5592308</v>
      </c>
      <c r="H10" s="49">
        <f>G10*3900</f>
        <v>1729881</v>
      </c>
      <c r="I10" s="46" t="s">
        <v>74</v>
      </c>
      <c r="J10" s="46" t="s">
        <v>104</v>
      </c>
    </row>
    <row r="11" ht="15.0" hidden="1" customHeight="1">
      <c r="A11" s="37"/>
      <c r="B11" s="84"/>
      <c r="C11" s="84"/>
      <c r="D11" s="84"/>
      <c r="E11" s="84"/>
      <c r="F11" s="84"/>
      <c r="G11" s="84"/>
      <c r="H11" s="84"/>
      <c r="I11" s="84"/>
      <c r="J11" s="84"/>
    </row>
    <row r="12" ht="12.75" customHeight="1"/>
    <row r="13" ht="138.75" customHeight="1">
      <c r="A13" s="39" t="s">
        <v>209</v>
      </c>
      <c r="B13" s="4"/>
      <c r="C13" s="4"/>
      <c r="D13" s="4"/>
      <c r="E13" s="4"/>
      <c r="F13" s="4"/>
      <c r="G13" s="4"/>
      <c r="H13" s="4"/>
      <c r="I13" s="4"/>
      <c r="J13" s="5"/>
    </row>
    <row r="14" ht="12.75" customHeight="1"/>
    <row r="15" ht="75.0" customHeight="1">
      <c r="A15" s="39" t="s">
        <v>210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4.88"/>
    <col customWidth="1" min="12" max="12" width="15.38"/>
    <col customWidth="1" min="13" max="13" width="14.75"/>
    <col customWidth="1" min="14"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1" t="s">
        <v>211</v>
      </c>
      <c r="C7" s="41" t="s">
        <v>212</v>
      </c>
      <c r="D7" s="41" t="s">
        <v>213</v>
      </c>
      <c r="E7" s="41" t="s">
        <v>214</v>
      </c>
      <c r="F7" s="42" t="s">
        <v>215</v>
      </c>
      <c r="G7" s="43" t="s">
        <v>216</v>
      </c>
      <c r="H7" s="41" t="s">
        <v>9</v>
      </c>
      <c r="I7" s="41" t="s">
        <v>217</v>
      </c>
      <c r="J7" s="41" t="s">
        <v>218</v>
      </c>
      <c r="K7" s="10" t="s">
        <v>12</v>
      </c>
      <c r="L7" s="10" t="s">
        <v>13</v>
      </c>
      <c r="M7" s="10" t="s">
        <v>14</v>
      </c>
      <c r="N7" s="11"/>
      <c r="O7" s="11"/>
      <c r="P7" s="11"/>
      <c r="Q7" s="11"/>
      <c r="R7" s="11"/>
      <c r="S7" s="11"/>
      <c r="T7" s="11"/>
      <c r="U7" s="11"/>
      <c r="V7" s="11"/>
      <c r="W7" s="11"/>
      <c r="X7" s="11"/>
      <c r="Y7" s="11"/>
      <c r="Z7" s="11"/>
    </row>
    <row r="8" ht="75.0" customHeight="1">
      <c r="A8" s="41" t="s">
        <v>15</v>
      </c>
      <c r="B8" s="44" t="s">
        <v>46</v>
      </c>
      <c r="C8" s="45" t="s">
        <v>47</v>
      </c>
      <c r="D8" s="46" t="s">
        <v>48</v>
      </c>
      <c r="E8" s="47">
        <v>535999.0</v>
      </c>
      <c r="F8" s="47">
        <v>637838.0</v>
      </c>
      <c r="G8" s="48">
        <f t="shared" ref="G8:G9" si="1">(E8+F8)/3900</f>
        <v>300.9838462</v>
      </c>
      <c r="H8" s="49">
        <f>E8+F8</f>
        <v>1173837</v>
      </c>
      <c r="I8" s="46" t="s">
        <v>49</v>
      </c>
      <c r="J8" s="50" t="s">
        <v>50</v>
      </c>
      <c r="K8" s="51">
        <f>F9+E9</f>
        <v>1355610</v>
      </c>
      <c r="L8" s="23">
        <f>AVERAGE(H8:H10)</f>
        <v>1449049</v>
      </c>
      <c r="M8" s="52">
        <f>E10+F10</f>
        <v>1817700</v>
      </c>
    </row>
    <row r="9" ht="50.25" customHeight="1">
      <c r="A9" s="41" t="s">
        <v>23</v>
      </c>
      <c r="B9" s="53" t="s">
        <v>51</v>
      </c>
      <c r="C9" s="54" t="s">
        <v>52</v>
      </c>
      <c r="D9" s="55" t="s">
        <v>53</v>
      </c>
      <c r="E9" s="56">
        <v>619000.0</v>
      </c>
      <c r="F9" s="47">
        <v>736610.0</v>
      </c>
      <c r="G9" s="48">
        <f t="shared" si="1"/>
        <v>347.5923077</v>
      </c>
      <c r="H9" s="49">
        <f>F9+E9</f>
        <v>1355610</v>
      </c>
      <c r="I9" s="46" t="s">
        <v>49</v>
      </c>
      <c r="J9" s="57" t="s">
        <v>50</v>
      </c>
    </row>
    <row r="10" ht="50.25" customHeight="1">
      <c r="A10" s="41" t="s">
        <v>29</v>
      </c>
      <c r="B10" s="58" t="s">
        <v>54</v>
      </c>
      <c r="C10" s="32" t="s">
        <v>55</v>
      </c>
      <c r="D10" s="59" t="s">
        <v>56</v>
      </c>
      <c r="E10" s="60">
        <v>830000.0</v>
      </c>
      <c r="F10" s="47">
        <v>987700.0</v>
      </c>
      <c r="G10" s="48">
        <v>224.0</v>
      </c>
      <c r="H10" s="49">
        <f>E10+F10</f>
        <v>1817700</v>
      </c>
      <c r="I10" s="46" t="s">
        <v>49</v>
      </c>
      <c r="J10" s="57" t="s">
        <v>50</v>
      </c>
    </row>
    <row r="11" ht="15.0" hidden="1" customHeight="1">
      <c r="A11" s="37"/>
      <c r="B11" s="38"/>
      <c r="C11" s="38"/>
      <c r="D11" s="38"/>
      <c r="E11" s="38"/>
      <c r="F11" s="38"/>
      <c r="G11" s="38"/>
      <c r="H11" s="38"/>
      <c r="I11" s="38"/>
      <c r="J11" s="38" t="s">
        <v>57</v>
      </c>
    </row>
    <row r="12" ht="12.75" customHeight="1"/>
    <row r="13" ht="138.75" customHeight="1">
      <c r="A13" s="39" t="s">
        <v>219</v>
      </c>
      <c r="B13" s="4"/>
      <c r="C13" s="4"/>
      <c r="D13" s="4"/>
      <c r="E13" s="4"/>
      <c r="F13" s="4"/>
      <c r="G13" s="4"/>
      <c r="H13" s="4"/>
      <c r="I13" s="4"/>
      <c r="J13" s="5"/>
    </row>
    <row r="14" ht="12.75" customHeight="1"/>
    <row r="15" ht="75.0" customHeight="1">
      <c r="A15" s="39" t="s">
        <v>220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google_vignette" ref="C8"/>
    <hyperlink r:id="rId2" ref="C9"/>
    <hyperlink r:id="rId3" ref="C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4.88"/>
    <col customWidth="1" min="12" max="12" width="10.0"/>
    <col customWidth="1" min="13" max="13" width="14.75"/>
    <col customWidth="1" min="14"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62" t="s">
        <v>221</v>
      </c>
      <c r="C7" s="62" t="s">
        <v>222</v>
      </c>
      <c r="D7" s="62" t="s">
        <v>223</v>
      </c>
      <c r="E7" s="62" t="s">
        <v>224</v>
      </c>
      <c r="F7" s="63" t="s">
        <v>225</v>
      </c>
      <c r="G7" s="85" t="s">
        <v>226</v>
      </c>
      <c r="H7" s="62" t="s">
        <v>9</v>
      </c>
      <c r="I7" s="62" t="s">
        <v>227</v>
      </c>
      <c r="J7" s="62" t="s">
        <v>228</v>
      </c>
      <c r="K7" s="10" t="s">
        <v>12</v>
      </c>
      <c r="L7" s="10" t="s">
        <v>13</v>
      </c>
      <c r="M7" s="10" t="s">
        <v>14</v>
      </c>
      <c r="N7" s="11"/>
      <c r="O7" s="11"/>
      <c r="P7" s="11"/>
      <c r="Q7" s="11"/>
      <c r="R7" s="11"/>
      <c r="S7" s="11"/>
      <c r="T7" s="11"/>
      <c r="U7" s="11"/>
      <c r="V7" s="11"/>
      <c r="W7" s="11"/>
      <c r="X7" s="11"/>
      <c r="Y7" s="11"/>
      <c r="Z7" s="11"/>
    </row>
    <row r="8" ht="50.25" customHeight="1">
      <c r="A8" s="78" t="s">
        <v>15</v>
      </c>
      <c r="B8" s="46" t="s">
        <v>115</v>
      </c>
      <c r="C8" s="86" t="s">
        <v>116</v>
      </c>
      <c r="D8" s="46" t="s">
        <v>117</v>
      </c>
      <c r="E8" s="80" t="s">
        <v>118</v>
      </c>
      <c r="F8" s="80" t="str">
        <f t="shared" ref="F8:F10" si="1">E8*1.19</f>
        <v>#VALUE!</v>
      </c>
      <c r="G8" s="48" t="str">
        <f t="shared" ref="G8:G10" si="2">(F8+E8)/3900</f>
        <v>#VALUE!</v>
      </c>
      <c r="H8" s="49" t="str">
        <f t="shared" ref="H8:H10" si="3">G8*3900</f>
        <v>#VALUE!</v>
      </c>
      <c r="I8" s="46" t="s">
        <v>118</v>
      </c>
      <c r="J8" s="87" t="s">
        <v>119</v>
      </c>
    </row>
    <row r="9" ht="50.25" customHeight="1">
      <c r="A9" s="78" t="s">
        <v>23</v>
      </c>
      <c r="B9" s="70" t="s">
        <v>120</v>
      </c>
      <c r="C9" s="32" t="s">
        <v>121</v>
      </c>
      <c r="D9" s="50" t="s">
        <v>122</v>
      </c>
      <c r="E9" s="79" t="s">
        <v>118</v>
      </c>
      <c r="F9" s="80" t="str">
        <f t="shared" si="1"/>
        <v>#VALUE!</v>
      </c>
      <c r="G9" s="48" t="str">
        <f t="shared" si="2"/>
        <v>#VALUE!</v>
      </c>
      <c r="H9" s="49" t="str">
        <f t="shared" si="3"/>
        <v>#VALUE!</v>
      </c>
      <c r="I9" s="46" t="s">
        <v>118</v>
      </c>
      <c r="J9" s="50" t="s">
        <v>123</v>
      </c>
    </row>
    <row r="10" ht="50.25" customHeight="1">
      <c r="A10" s="78" t="s">
        <v>29</v>
      </c>
      <c r="B10" s="88" t="s">
        <v>124</v>
      </c>
      <c r="C10" s="32" t="s">
        <v>125</v>
      </c>
      <c r="D10" s="50" t="s">
        <v>126</v>
      </c>
      <c r="E10" s="79" t="s">
        <v>127</v>
      </c>
      <c r="F10" s="80" t="str">
        <f t="shared" si="1"/>
        <v>#VALUE!</v>
      </c>
      <c r="G10" s="48" t="str">
        <f t="shared" si="2"/>
        <v>#VALUE!</v>
      </c>
      <c r="H10" s="49" t="str">
        <f t="shared" si="3"/>
        <v>#VALUE!</v>
      </c>
      <c r="I10" s="46" t="s">
        <v>118</v>
      </c>
      <c r="J10" s="46" t="s">
        <v>128</v>
      </c>
    </row>
    <row r="11" ht="15.0" hidden="1" customHeight="1">
      <c r="A11" s="37"/>
      <c r="B11" s="84"/>
      <c r="C11" s="84"/>
      <c r="D11" s="84"/>
      <c r="E11" s="84"/>
      <c r="F11" s="84"/>
      <c r="G11" s="84"/>
      <c r="H11" s="84"/>
      <c r="I11" s="84"/>
      <c r="J11" s="84"/>
    </row>
    <row r="12" ht="12.75" customHeight="1"/>
    <row r="13" ht="138.75" customHeight="1">
      <c r="A13" s="39" t="s">
        <v>229</v>
      </c>
      <c r="B13" s="4"/>
      <c r="C13" s="4"/>
      <c r="D13" s="4"/>
      <c r="E13" s="4"/>
      <c r="F13" s="4"/>
      <c r="G13" s="4"/>
      <c r="H13" s="4"/>
      <c r="I13" s="4"/>
      <c r="J13" s="5"/>
    </row>
    <row r="14" ht="12.75" customHeight="1"/>
    <row r="15" ht="75.0" customHeight="1">
      <c r="A15" s="39" t="s">
        <v>230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9"/>
    <hyperlink r:id="rId2" ref="C10"/>
  </hyperlinks>
  <printOptions/>
  <pageMargins bottom="0.75" footer="0.0" header="0.0" left="0.7" right="0.7" top="0.75"/>
  <pageSetup orientation="landscape"/>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4.88"/>
    <col customWidth="1" min="12" max="12" width="16.75"/>
    <col customWidth="1" min="13" max="13" width="14.38"/>
    <col customWidth="1" min="14"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62" t="s">
        <v>231</v>
      </c>
      <c r="C7" s="62" t="s">
        <v>232</v>
      </c>
      <c r="D7" s="62" t="s">
        <v>233</v>
      </c>
      <c r="E7" s="62" t="s">
        <v>234</v>
      </c>
      <c r="F7" s="63" t="s">
        <v>235</v>
      </c>
      <c r="G7" s="64" t="s">
        <v>236</v>
      </c>
      <c r="H7" s="62" t="s">
        <v>9</v>
      </c>
      <c r="I7" s="62" t="s">
        <v>237</v>
      </c>
      <c r="J7" s="62" t="s">
        <v>238</v>
      </c>
      <c r="K7" s="10" t="s">
        <v>12</v>
      </c>
      <c r="L7" s="10" t="s">
        <v>13</v>
      </c>
      <c r="M7" s="10" t="s">
        <v>14</v>
      </c>
      <c r="N7" s="11"/>
      <c r="O7" s="11"/>
      <c r="P7" s="11"/>
      <c r="Q7" s="11"/>
      <c r="R7" s="11"/>
      <c r="S7" s="11"/>
      <c r="T7" s="11"/>
      <c r="U7" s="11"/>
      <c r="V7" s="11"/>
      <c r="W7" s="11"/>
      <c r="X7" s="11"/>
      <c r="Y7" s="11"/>
      <c r="Z7" s="11"/>
    </row>
    <row r="8" ht="50.25" customHeight="1">
      <c r="A8" s="78" t="s">
        <v>15</v>
      </c>
      <c r="B8" s="46" t="s">
        <v>139</v>
      </c>
      <c r="C8" s="32" t="s">
        <v>140</v>
      </c>
      <c r="D8" s="70" t="s">
        <v>141</v>
      </c>
      <c r="E8" s="80">
        <v>3588914.0</v>
      </c>
      <c r="F8" s="80">
        <f t="shared" ref="F8:F10" si="1">E8*1.19</f>
        <v>4270807.66</v>
      </c>
      <c r="G8" s="48">
        <f t="shared" ref="G8:G10" si="2">(F8+E8)/3900</f>
        <v>2015.313246</v>
      </c>
      <c r="H8" s="49">
        <f>G8*3900</f>
        <v>7859721.66</v>
      </c>
      <c r="I8" s="46" t="s">
        <v>49</v>
      </c>
      <c r="J8" s="50" t="s">
        <v>142</v>
      </c>
      <c r="K8" s="82">
        <f>F9+E9</f>
        <v>2422683.12</v>
      </c>
      <c r="L8" s="23">
        <f>AVERAGE(H8:H10)</f>
        <v>4511769.38</v>
      </c>
      <c r="M8" s="23">
        <f>G8*3900</f>
        <v>7859721.66</v>
      </c>
    </row>
    <row r="9" ht="50.25" customHeight="1">
      <c r="A9" s="78" t="s">
        <v>23</v>
      </c>
      <c r="B9" s="70" t="s">
        <v>143</v>
      </c>
      <c r="C9" s="32" t="s">
        <v>144</v>
      </c>
      <c r="D9" s="50" t="s">
        <v>145</v>
      </c>
      <c r="E9" s="79">
        <v>1106248.0</v>
      </c>
      <c r="F9" s="80">
        <f t="shared" si="1"/>
        <v>1316435.12</v>
      </c>
      <c r="G9" s="48">
        <f t="shared" si="2"/>
        <v>621.2008</v>
      </c>
      <c r="H9" s="49">
        <f>F9+E9</f>
        <v>2422683.12</v>
      </c>
      <c r="I9" s="46" t="s">
        <v>49</v>
      </c>
      <c r="J9" s="50" t="s">
        <v>146</v>
      </c>
    </row>
    <row r="10" ht="50.25" customHeight="1">
      <c r="A10" s="78" t="s">
        <v>29</v>
      </c>
      <c r="B10" s="89" t="s">
        <v>147</v>
      </c>
      <c r="C10" s="32" t="s">
        <v>148</v>
      </c>
      <c r="D10" s="90" t="s">
        <v>149</v>
      </c>
      <c r="E10" s="79">
        <v>1485344.0</v>
      </c>
      <c r="F10" s="80">
        <f t="shared" si="1"/>
        <v>1767559.36</v>
      </c>
      <c r="G10" s="48">
        <f t="shared" si="2"/>
        <v>834.0777846</v>
      </c>
      <c r="H10" s="49">
        <f>G10*3900</f>
        <v>3252903.36</v>
      </c>
      <c r="I10" s="46" t="s">
        <v>49</v>
      </c>
      <c r="J10" s="91" t="s">
        <v>150</v>
      </c>
    </row>
    <row r="11" ht="15.0" hidden="1" customHeight="1">
      <c r="A11" s="37"/>
      <c r="B11" s="84"/>
      <c r="C11" s="84"/>
      <c r="D11" s="84"/>
      <c r="E11" s="84"/>
      <c r="F11" s="84"/>
      <c r="G11" s="84"/>
      <c r="H11" s="84"/>
      <c r="I11" s="84"/>
      <c r="J11" s="84"/>
    </row>
    <row r="12" ht="12.75" customHeight="1"/>
    <row r="13" ht="138.75" customHeight="1">
      <c r="A13" s="39" t="s">
        <v>239</v>
      </c>
      <c r="B13" s="4"/>
      <c r="C13" s="4"/>
      <c r="D13" s="4"/>
      <c r="E13" s="4"/>
      <c r="F13" s="4"/>
      <c r="G13" s="4"/>
      <c r="H13" s="4"/>
      <c r="I13" s="4"/>
      <c r="J13" s="5"/>
    </row>
    <row r="14" ht="12.75" customHeight="1"/>
    <row r="15" ht="75.0" customHeight="1">
      <c r="A15" s="39" t="s">
        <v>240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4.88"/>
    <col customWidth="1" min="12" max="12" width="13.88"/>
    <col customWidth="1" min="13" max="13" width="14.38"/>
    <col customWidth="1" min="14"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62" t="s">
        <v>241</v>
      </c>
      <c r="C7" s="62" t="s">
        <v>242</v>
      </c>
      <c r="D7" s="62" t="s">
        <v>243</v>
      </c>
      <c r="E7" s="62" t="s">
        <v>244</v>
      </c>
      <c r="F7" s="63" t="s">
        <v>245</v>
      </c>
      <c r="G7" s="64" t="s">
        <v>246</v>
      </c>
      <c r="H7" s="62" t="s">
        <v>9</v>
      </c>
      <c r="I7" s="62" t="s">
        <v>247</v>
      </c>
      <c r="J7" s="62" t="s">
        <v>248</v>
      </c>
      <c r="K7" s="10" t="s">
        <v>12</v>
      </c>
      <c r="L7" s="10" t="s">
        <v>13</v>
      </c>
      <c r="M7" s="10" t="s">
        <v>14</v>
      </c>
      <c r="N7" s="11"/>
      <c r="O7" s="11"/>
      <c r="P7" s="11"/>
      <c r="Q7" s="11"/>
      <c r="R7" s="11"/>
      <c r="S7" s="11"/>
      <c r="T7" s="11"/>
      <c r="U7" s="11"/>
      <c r="V7" s="11"/>
      <c r="W7" s="11"/>
      <c r="X7" s="11"/>
      <c r="Y7" s="11"/>
      <c r="Z7" s="11"/>
    </row>
    <row r="8" ht="50.25" customHeight="1">
      <c r="A8" s="78" t="s">
        <v>15</v>
      </c>
      <c r="B8" s="100" t="s">
        <v>54</v>
      </c>
      <c r="C8" s="101"/>
      <c r="D8" s="102" t="s">
        <v>249</v>
      </c>
      <c r="E8" s="103">
        <v>3449000.0</v>
      </c>
      <c r="F8" s="103">
        <f t="shared" ref="F8:F10" si="1">E8*1.19</f>
        <v>4104310</v>
      </c>
      <c r="G8" s="104">
        <f t="shared" ref="G8:G9" si="2">(F8)/3900</f>
        <v>1052.387179</v>
      </c>
      <c r="H8" s="105">
        <f t="shared" ref="H8:H10" si="3">G8*3900</f>
        <v>4104310</v>
      </c>
      <c r="I8" s="100" t="s">
        <v>74</v>
      </c>
      <c r="J8" s="102" t="s">
        <v>250</v>
      </c>
      <c r="K8" s="51">
        <f>G9*3900</f>
        <v>2856000</v>
      </c>
      <c r="L8" s="23">
        <f>AVERAGE(H8:H10)</f>
        <v>3277606.373</v>
      </c>
      <c r="M8" s="23">
        <f>G8*3900</f>
        <v>4104310</v>
      </c>
    </row>
    <row r="9" ht="50.25" customHeight="1">
      <c r="A9" s="78" t="s">
        <v>23</v>
      </c>
      <c r="B9" s="100" t="s">
        <v>251</v>
      </c>
      <c r="C9" s="101"/>
      <c r="D9" s="102" t="s">
        <v>252</v>
      </c>
      <c r="E9" s="95">
        <v>2400000.0</v>
      </c>
      <c r="F9" s="103">
        <f t="shared" si="1"/>
        <v>2856000</v>
      </c>
      <c r="G9" s="104">
        <f t="shared" si="2"/>
        <v>732.3076923</v>
      </c>
      <c r="H9" s="105">
        <f t="shared" si="3"/>
        <v>2856000</v>
      </c>
      <c r="I9" s="100" t="s">
        <v>74</v>
      </c>
      <c r="J9" s="102" t="s">
        <v>253</v>
      </c>
    </row>
    <row r="10" ht="50.25" customHeight="1">
      <c r="A10" s="78" t="s">
        <v>29</v>
      </c>
      <c r="B10" s="100" t="s">
        <v>254</v>
      </c>
      <c r="C10" s="101"/>
      <c r="D10" s="102" t="s">
        <v>255</v>
      </c>
      <c r="E10" s="103">
        <v>1311648.0</v>
      </c>
      <c r="F10" s="103">
        <f t="shared" si="1"/>
        <v>1560861.12</v>
      </c>
      <c r="G10" s="104">
        <f>(F10+E10)/3900</f>
        <v>736.5408</v>
      </c>
      <c r="H10" s="105">
        <f t="shared" si="3"/>
        <v>2872509.12</v>
      </c>
      <c r="I10" s="100" t="s">
        <v>74</v>
      </c>
      <c r="J10" s="102" t="s">
        <v>256</v>
      </c>
    </row>
    <row r="11" ht="15.0" hidden="1" customHeight="1">
      <c r="A11" s="37"/>
      <c r="B11" s="84"/>
      <c r="C11" s="84"/>
      <c r="D11" s="84"/>
      <c r="E11" s="84"/>
      <c r="F11" s="84"/>
      <c r="G11" s="84"/>
      <c r="H11" s="84"/>
      <c r="I11" s="84"/>
      <c r="J11" s="84"/>
    </row>
    <row r="12" ht="12.75" customHeight="1"/>
    <row r="13" ht="138.75" customHeight="1">
      <c r="A13" s="39" t="s">
        <v>257</v>
      </c>
      <c r="B13" s="4"/>
      <c r="C13" s="4"/>
      <c r="D13" s="4"/>
      <c r="E13" s="4"/>
      <c r="F13" s="4"/>
      <c r="G13" s="4"/>
      <c r="H13" s="4"/>
      <c r="I13" s="4"/>
      <c r="J13" s="5"/>
    </row>
    <row r="14" ht="12.75" customHeight="1"/>
    <row r="15" ht="75.0" customHeight="1">
      <c r="A15" s="39" t="s">
        <v>258</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5.25"/>
    <col customWidth="1" min="12" max="12" width="13.88"/>
    <col customWidth="1" min="13" max="13" width="14.88"/>
    <col customWidth="1" min="14"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62" t="s">
        <v>259</v>
      </c>
      <c r="C7" s="62" t="s">
        <v>260</v>
      </c>
      <c r="D7" s="62" t="s">
        <v>261</v>
      </c>
      <c r="E7" s="62" t="s">
        <v>262</v>
      </c>
      <c r="F7" s="63" t="s">
        <v>263</v>
      </c>
      <c r="G7" s="64" t="s">
        <v>264</v>
      </c>
      <c r="H7" s="62" t="s">
        <v>9</v>
      </c>
      <c r="I7" s="62" t="s">
        <v>265</v>
      </c>
      <c r="J7" s="62" t="s">
        <v>266</v>
      </c>
      <c r="K7" s="10" t="s">
        <v>267</v>
      </c>
      <c r="L7" s="10" t="s">
        <v>13</v>
      </c>
      <c r="M7" s="10" t="s">
        <v>268</v>
      </c>
      <c r="N7" s="11"/>
      <c r="O7" s="11"/>
      <c r="P7" s="11"/>
      <c r="Q7" s="11"/>
      <c r="R7" s="11"/>
      <c r="S7" s="11"/>
      <c r="T7" s="11"/>
      <c r="U7" s="11"/>
      <c r="V7" s="11"/>
      <c r="W7" s="11"/>
      <c r="X7" s="11"/>
      <c r="Y7" s="11"/>
      <c r="Z7" s="11"/>
    </row>
    <row r="8" ht="50.25" customHeight="1">
      <c r="A8" s="78" t="s">
        <v>15</v>
      </c>
      <c r="B8" s="100" t="s">
        <v>269</v>
      </c>
      <c r="C8" s="101"/>
      <c r="D8" s="102" t="s">
        <v>270</v>
      </c>
      <c r="E8" s="103">
        <v>820000.0</v>
      </c>
      <c r="F8" s="103">
        <f t="shared" ref="F8:F10" si="1">E8*1.19</f>
        <v>975800</v>
      </c>
      <c r="G8" s="104">
        <f t="shared" ref="G8:G10" si="2">(F8+E8)/3900</f>
        <v>460.4615385</v>
      </c>
      <c r="H8" s="105">
        <f t="shared" ref="H8:H10" si="3">G8*3900</f>
        <v>1795800</v>
      </c>
      <c r="I8" s="100" t="s">
        <v>74</v>
      </c>
      <c r="J8" s="106" t="s">
        <v>271</v>
      </c>
      <c r="K8" s="51">
        <f>G10*3900</f>
        <v>2078310</v>
      </c>
      <c r="L8" s="23">
        <f>AVERAGE(H8:H10)</f>
        <v>1983410</v>
      </c>
      <c r="M8" s="23">
        <f>G8*3900</f>
        <v>1795800</v>
      </c>
    </row>
    <row r="9" ht="50.25" customHeight="1">
      <c r="A9" s="78" t="s">
        <v>23</v>
      </c>
      <c r="B9" s="100" t="s">
        <v>272</v>
      </c>
      <c r="C9" s="101"/>
      <c r="D9" s="102" t="s">
        <v>273</v>
      </c>
      <c r="E9" s="103">
        <v>948000.0</v>
      </c>
      <c r="F9" s="103">
        <f t="shared" si="1"/>
        <v>1128120</v>
      </c>
      <c r="G9" s="104">
        <f t="shared" si="2"/>
        <v>532.3384615</v>
      </c>
      <c r="H9" s="105">
        <f t="shared" si="3"/>
        <v>2076120</v>
      </c>
      <c r="I9" s="100" t="s">
        <v>74</v>
      </c>
      <c r="J9" s="106" t="s">
        <v>274</v>
      </c>
    </row>
    <row r="10" ht="50.25" customHeight="1">
      <c r="A10" s="78" t="s">
        <v>29</v>
      </c>
      <c r="B10" s="100" t="s">
        <v>269</v>
      </c>
      <c r="C10" s="101"/>
      <c r="D10" s="102" t="s">
        <v>275</v>
      </c>
      <c r="E10" s="103">
        <v>949000.0</v>
      </c>
      <c r="F10" s="103">
        <f t="shared" si="1"/>
        <v>1129310</v>
      </c>
      <c r="G10" s="104">
        <f t="shared" si="2"/>
        <v>532.9</v>
      </c>
      <c r="H10" s="105">
        <f t="shared" si="3"/>
        <v>2078310</v>
      </c>
      <c r="I10" s="100" t="s">
        <v>74</v>
      </c>
      <c r="J10" s="106" t="s">
        <v>276</v>
      </c>
    </row>
    <row r="11" ht="15.0" hidden="1" customHeight="1">
      <c r="A11" s="37"/>
      <c r="B11" s="84"/>
      <c r="C11" s="84"/>
      <c r="D11" s="84"/>
      <c r="E11" s="84"/>
      <c r="F11" s="84"/>
      <c r="G11" s="84"/>
      <c r="H11" s="84"/>
      <c r="I11" s="84"/>
      <c r="J11" s="84"/>
    </row>
    <row r="12" ht="12.75" customHeight="1"/>
    <row r="13" ht="138.75" customHeight="1">
      <c r="A13" s="39" t="s">
        <v>277</v>
      </c>
      <c r="B13" s="4"/>
      <c r="C13" s="4"/>
      <c r="D13" s="4"/>
      <c r="E13" s="4"/>
      <c r="F13" s="4"/>
      <c r="G13" s="4"/>
      <c r="H13" s="4"/>
      <c r="I13" s="4"/>
      <c r="J13" s="5"/>
    </row>
    <row r="14" ht="12.75" customHeight="1"/>
    <row r="15" ht="75.0" customHeight="1">
      <c r="A15" s="39" t="s">
        <v>278</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4.75"/>
    <col customWidth="1" min="12" max="12" width="12.25"/>
    <col customWidth="1" min="13" max="13" width="15.0"/>
    <col customWidth="1" min="14" max="26" width="10.0"/>
  </cols>
  <sheetData>
    <row r="1" ht="12.75" customHeight="1"/>
    <row r="2" ht="27.75" customHeight="1">
      <c r="D2" s="2" t="s">
        <v>0</v>
      </c>
    </row>
    <row r="3" ht="12.75" customHeight="1"/>
    <row r="4" ht="12.75" customHeight="1"/>
    <row r="5" ht="43.5" customHeight="1">
      <c r="A5" s="92">
        <v>0.0</v>
      </c>
      <c r="B5" s="4"/>
      <c r="C5" s="4"/>
      <c r="D5" s="4"/>
      <c r="E5" s="4"/>
      <c r="F5" s="4"/>
      <c r="G5" s="4"/>
      <c r="H5" s="4"/>
      <c r="I5" s="4"/>
      <c r="J5" s="5"/>
    </row>
    <row r="6" ht="15.75" customHeight="1"/>
    <row r="7" ht="75.75" customHeight="1">
      <c r="A7" s="6" t="s">
        <v>2</v>
      </c>
      <c r="B7" s="62" t="s">
        <v>279</v>
      </c>
      <c r="C7" s="62" t="s">
        <v>280</v>
      </c>
      <c r="D7" s="62" t="s">
        <v>281</v>
      </c>
      <c r="E7" s="62" t="s">
        <v>282</v>
      </c>
      <c r="F7" s="63" t="s">
        <v>283</v>
      </c>
      <c r="G7" s="64" t="s">
        <v>284</v>
      </c>
      <c r="H7" s="62" t="s">
        <v>9</v>
      </c>
      <c r="I7" s="62" t="s">
        <v>285</v>
      </c>
      <c r="J7" s="62" t="s">
        <v>286</v>
      </c>
      <c r="K7" s="10" t="s">
        <v>287</v>
      </c>
      <c r="L7" s="10" t="s">
        <v>13</v>
      </c>
      <c r="M7" s="107" t="s">
        <v>14</v>
      </c>
      <c r="N7" s="11"/>
      <c r="O7" s="11"/>
      <c r="P7" s="11"/>
      <c r="Q7" s="11"/>
      <c r="R7" s="11"/>
      <c r="S7" s="11"/>
      <c r="T7" s="11"/>
      <c r="U7" s="11"/>
      <c r="V7" s="11"/>
      <c r="W7" s="11"/>
      <c r="X7" s="11"/>
      <c r="Y7" s="11"/>
      <c r="Z7" s="11"/>
    </row>
    <row r="8" ht="50.25" customHeight="1">
      <c r="A8" s="78" t="s">
        <v>15</v>
      </c>
      <c r="B8" s="100" t="s">
        <v>288</v>
      </c>
      <c r="C8" s="108" t="s">
        <v>289</v>
      </c>
      <c r="D8" s="102" t="s">
        <v>290</v>
      </c>
      <c r="E8" s="95">
        <v>109900.0</v>
      </c>
      <c r="F8" s="103">
        <f t="shared" ref="F8:F10" si="1">E8*1.19</f>
        <v>130781</v>
      </c>
      <c r="G8" s="104">
        <f t="shared" ref="G8:G10" si="2">(F8+E8)/3900</f>
        <v>61.71307692</v>
      </c>
      <c r="H8" s="105">
        <f t="shared" ref="H8:H10" si="3">G8*3900</f>
        <v>240681</v>
      </c>
      <c r="I8" s="100" t="s">
        <v>49</v>
      </c>
      <c r="J8" s="102" t="s">
        <v>291</v>
      </c>
      <c r="K8" s="51">
        <f>G10*3900</f>
        <v>100740</v>
      </c>
      <c r="L8" s="23">
        <f>AVERAGE(H8:H10)</f>
        <v>179507</v>
      </c>
      <c r="M8" s="23">
        <f>G8*3900</f>
        <v>240681</v>
      </c>
    </row>
    <row r="9" ht="50.25" customHeight="1">
      <c r="A9" s="78" t="s">
        <v>23</v>
      </c>
      <c r="B9" s="100" t="s">
        <v>292</v>
      </c>
      <c r="C9" s="108" t="s">
        <v>293</v>
      </c>
      <c r="D9" s="102" t="s">
        <v>294</v>
      </c>
      <c r="E9" s="95">
        <v>90000.0</v>
      </c>
      <c r="F9" s="103">
        <f t="shared" si="1"/>
        <v>107100</v>
      </c>
      <c r="G9" s="104">
        <f t="shared" si="2"/>
        <v>50.53846154</v>
      </c>
      <c r="H9" s="105">
        <f t="shared" si="3"/>
        <v>197100</v>
      </c>
      <c r="I9" s="100" t="s">
        <v>49</v>
      </c>
      <c r="J9" s="102" t="s">
        <v>295</v>
      </c>
    </row>
    <row r="10" ht="50.25" customHeight="1">
      <c r="A10" s="78" t="s">
        <v>29</v>
      </c>
      <c r="B10" s="100" t="s">
        <v>296</v>
      </c>
      <c r="C10" s="108" t="s">
        <v>297</v>
      </c>
      <c r="D10" s="102" t="s">
        <v>298</v>
      </c>
      <c r="E10" s="95">
        <v>46000.0</v>
      </c>
      <c r="F10" s="103">
        <f t="shared" si="1"/>
        <v>54740</v>
      </c>
      <c r="G10" s="104">
        <f t="shared" si="2"/>
        <v>25.83076923</v>
      </c>
      <c r="H10" s="105">
        <f t="shared" si="3"/>
        <v>100740</v>
      </c>
      <c r="I10" s="100" t="s">
        <v>49</v>
      </c>
      <c r="J10" s="100" t="s">
        <v>299</v>
      </c>
    </row>
    <row r="11" ht="15.0" hidden="1" customHeight="1">
      <c r="A11" s="37"/>
      <c r="B11" s="84"/>
      <c r="C11" s="84"/>
      <c r="D11" s="84"/>
      <c r="E11" s="84"/>
      <c r="F11" s="84"/>
      <c r="G11" s="84"/>
      <c r="H11" s="84"/>
      <c r="I11" s="84"/>
      <c r="J11" s="84"/>
    </row>
    <row r="12" ht="12.75" customHeight="1"/>
    <row r="13" ht="138.75" customHeight="1">
      <c r="A13" s="39" t="s">
        <v>300</v>
      </c>
      <c r="B13" s="4"/>
      <c r="C13" s="4"/>
      <c r="D13" s="4"/>
      <c r="E13" s="4"/>
      <c r="F13" s="4"/>
      <c r="G13" s="4"/>
      <c r="H13" s="4"/>
      <c r="I13" s="4"/>
      <c r="J13" s="5"/>
    </row>
    <row r="14" ht="12.75" customHeight="1"/>
    <row r="15" ht="75.0" customHeight="1">
      <c r="A15" s="39" t="s">
        <v>301</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location="is_advertising=true&amp;searchVariation=MCO23026811&amp;position=1&amp;search_layout=stack&amp;type=pad&amp;tracking_id=0694a9e8-3b57-4bb8-af1f-b5fae4bf605b&amp;is_advertising=true&amp;ad_domain=VQCATCORE_LST&amp;ad_position=1&amp;ad_click_id=YjRlZTZiMmUtNzVkYS00NDYyLWJjMmUtNzBmZjkzNTY3Yzlj" ref="C9"/>
    <hyperlink r:id="rId3" ref="C10"/>
  </hyperlinks>
  <printOptions/>
  <pageMargins bottom="0.75" footer="0.0" header="0.0" left="0.7" right="0.7" top="0.75"/>
  <pageSetup orientation="landscape"/>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4.88"/>
    <col customWidth="1" min="13" max="13" width="14.38"/>
    <col customWidth="1" min="14"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62" t="s">
        <v>302</v>
      </c>
      <c r="C7" s="62" t="s">
        <v>303</v>
      </c>
      <c r="D7" s="62" t="s">
        <v>304</v>
      </c>
      <c r="E7" s="62" t="s">
        <v>305</v>
      </c>
      <c r="F7" s="63" t="s">
        <v>306</v>
      </c>
      <c r="G7" s="64" t="s">
        <v>307</v>
      </c>
      <c r="H7" s="62" t="s">
        <v>9</v>
      </c>
      <c r="I7" s="62" t="s">
        <v>308</v>
      </c>
      <c r="J7" s="62" t="s">
        <v>309</v>
      </c>
      <c r="K7" s="10" t="s">
        <v>12</v>
      </c>
      <c r="L7" s="10" t="s">
        <v>13</v>
      </c>
      <c r="M7" s="10" t="s">
        <v>14</v>
      </c>
      <c r="N7" s="11"/>
      <c r="O7" s="11"/>
      <c r="P7" s="11"/>
      <c r="Q7" s="11"/>
      <c r="R7" s="11"/>
      <c r="S7" s="11"/>
      <c r="T7" s="11"/>
      <c r="U7" s="11"/>
      <c r="V7" s="11"/>
      <c r="W7" s="11"/>
      <c r="X7" s="11"/>
      <c r="Y7" s="11"/>
      <c r="Z7" s="11"/>
    </row>
    <row r="8" ht="50.25" customHeight="1">
      <c r="A8" s="78" t="s">
        <v>15</v>
      </c>
      <c r="B8" s="83" t="s">
        <v>161</v>
      </c>
      <c r="C8" s="32" t="s">
        <v>162</v>
      </c>
      <c r="D8" s="109" t="s">
        <v>310</v>
      </c>
      <c r="E8" s="79">
        <v>436686.0</v>
      </c>
      <c r="F8" s="80">
        <f t="shared" ref="F8:F10" si="1">E8*1.19</f>
        <v>519656.34</v>
      </c>
      <c r="G8" s="48">
        <f t="shared" ref="G8:G10" si="2">(E8+F8)/3900</f>
        <v>245.2159846</v>
      </c>
      <c r="H8" s="110">
        <f t="shared" ref="H8:H10" si="3">G8*3900</f>
        <v>956342.34</v>
      </c>
      <c r="I8" s="111" t="s">
        <v>74</v>
      </c>
      <c r="J8" s="112" t="s">
        <v>311</v>
      </c>
      <c r="K8" s="51">
        <f>G10*3900</f>
        <v>221194.38</v>
      </c>
      <c r="L8" s="23">
        <f>AVERAGE(H8:H10)</f>
        <v>509312.24</v>
      </c>
      <c r="M8" s="23">
        <f>G8*3900</f>
        <v>956342.34</v>
      </c>
    </row>
    <row r="9" ht="50.25" customHeight="1">
      <c r="A9" s="78" t="s">
        <v>23</v>
      </c>
      <c r="B9" s="44" t="s">
        <v>312</v>
      </c>
      <c r="C9" s="32" t="s">
        <v>313</v>
      </c>
      <c r="D9" s="46" t="s">
        <v>310</v>
      </c>
      <c r="E9" s="80">
        <v>160000.0</v>
      </c>
      <c r="F9" s="80">
        <f t="shared" si="1"/>
        <v>190400</v>
      </c>
      <c r="G9" s="48">
        <f t="shared" si="2"/>
        <v>89.84615385</v>
      </c>
      <c r="H9" s="110">
        <f t="shared" si="3"/>
        <v>350400</v>
      </c>
      <c r="I9" s="111" t="s">
        <v>74</v>
      </c>
      <c r="J9" s="113" t="s">
        <v>311</v>
      </c>
      <c r="K9" s="114"/>
    </row>
    <row r="10" ht="50.25" customHeight="1">
      <c r="A10" s="78" t="s">
        <v>29</v>
      </c>
      <c r="B10" s="46" t="s">
        <v>314</v>
      </c>
      <c r="C10" s="32" t="s">
        <v>315</v>
      </c>
      <c r="D10" s="88" t="s">
        <v>310</v>
      </c>
      <c r="E10" s="79">
        <v>101002.0</v>
      </c>
      <c r="F10" s="80">
        <f t="shared" si="1"/>
        <v>120192.38</v>
      </c>
      <c r="G10" s="48">
        <f t="shared" si="2"/>
        <v>56.71650769</v>
      </c>
      <c r="H10" s="110">
        <f t="shared" si="3"/>
        <v>221194.38</v>
      </c>
      <c r="I10" s="111" t="s">
        <v>74</v>
      </c>
      <c r="J10" s="115" t="s">
        <v>311</v>
      </c>
    </row>
    <row r="11" ht="15.0" hidden="1" customHeight="1">
      <c r="A11" s="37"/>
      <c r="B11" s="84"/>
      <c r="C11" s="84"/>
      <c r="D11" s="84"/>
      <c r="E11" s="84"/>
      <c r="F11" s="84"/>
      <c r="G11" s="84"/>
      <c r="H11" s="84"/>
      <c r="I11" s="24" t="s">
        <v>74</v>
      </c>
      <c r="J11" s="84"/>
    </row>
    <row r="12" ht="12.75" customHeight="1"/>
    <row r="13" ht="138.75" customHeight="1">
      <c r="A13" s="39" t="s">
        <v>316</v>
      </c>
      <c r="B13" s="4"/>
      <c r="C13" s="4"/>
      <c r="D13" s="4"/>
      <c r="E13" s="4"/>
      <c r="F13" s="4"/>
      <c r="G13" s="4"/>
      <c r="H13" s="4"/>
      <c r="I13" s="4"/>
      <c r="J13" s="5"/>
    </row>
    <row r="14" ht="12.75" customHeight="1"/>
    <row r="15" ht="75.0" customHeight="1">
      <c r="A15" s="39" t="s">
        <v>317</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3.88"/>
    <col customWidth="1" min="12" max="12" width="19.63"/>
    <col customWidth="1" min="13" max="13" width="14.63"/>
    <col customWidth="1" min="14"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62" t="s">
        <v>318</v>
      </c>
      <c r="C7" s="62" t="s">
        <v>319</v>
      </c>
      <c r="D7" s="62" t="s">
        <v>320</v>
      </c>
      <c r="E7" s="62" t="s">
        <v>321</v>
      </c>
      <c r="F7" s="63" t="s">
        <v>322</v>
      </c>
      <c r="G7" s="64" t="s">
        <v>323</v>
      </c>
      <c r="H7" s="62" t="s">
        <v>9</v>
      </c>
      <c r="I7" s="62" t="s">
        <v>324</v>
      </c>
      <c r="J7" s="62" t="s">
        <v>325</v>
      </c>
      <c r="K7" s="11" t="s">
        <v>12</v>
      </c>
      <c r="L7" s="11" t="s">
        <v>13</v>
      </c>
      <c r="M7" s="11" t="s">
        <v>14</v>
      </c>
      <c r="N7" s="11"/>
      <c r="O7" s="11"/>
      <c r="P7" s="11"/>
      <c r="Q7" s="11"/>
      <c r="R7" s="11"/>
      <c r="S7" s="11"/>
      <c r="T7" s="11"/>
      <c r="U7" s="11"/>
      <c r="V7" s="11"/>
      <c r="W7" s="11"/>
      <c r="X7" s="11"/>
      <c r="Y7" s="11"/>
      <c r="Z7" s="11"/>
    </row>
    <row r="8" ht="50.25" customHeight="1">
      <c r="A8" s="78" t="s">
        <v>15</v>
      </c>
      <c r="B8" s="100" t="s">
        <v>326</v>
      </c>
      <c r="C8" s="116" t="s">
        <v>327</v>
      </c>
      <c r="D8" s="102" t="s">
        <v>328</v>
      </c>
      <c r="E8" s="95">
        <v>450000.0</v>
      </c>
      <c r="F8" s="103">
        <f t="shared" ref="F8:F10" si="1">E8*1.19</f>
        <v>535500</v>
      </c>
      <c r="G8" s="104">
        <f t="shared" ref="G8:G10" si="2">(F8+E8)/3900</f>
        <v>252.6923077</v>
      </c>
      <c r="H8" s="117">
        <f t="shared" ref="H8:H10" si="3">G8*3900</f>
        <v>985500</v>
      </c>
      <c r="I8" s="100" t="s">
        <v>49</v>
      </c>
      <c r="J8" s="102" t="s">
        <v>329</v>
      </c>
      <c r="K8" s="82">
        <f>E9*1.19</f>
        <v>238000</v>
      </c>
      <c r="L8" s="118">
        <f>AVERAGE(F8:F10)</f>
        <v>2637833.333</v>
      </c>
      <c r="M8" s="118">
        <f>E10*1.19</f>
        <v>7140000</v>
      </c>
    </row>
    <row r="9" ht="50.25" customHeight="1">
      <c r="A9" s="78" t="s">
        <v>23</v>
      </c>
      <c r="B9" s="100" t="s">
        <v>330</v>
      </c>
      <c r="C9" s="116" t="s">
        <v>331</v>
      </c>
      <c r="D9" s="102" t="s">
        <v>332</v>
      </c>
      <c r="E9" s="95">
        <v>200000.0</v>
      </c>
      <c r="F9" s="103">
        <f t="shared" si="1"/>
        <v>238000</v>
      </c>
      <c r="G9" s="104">
        <f t="shared" si="2"/>
        <v>112.3076923</v>
      </c>
      <c r="H9" s="117">
        <f t="shared" si="3"/>
        <v>438000</v>
      </c>
      <c r="I9" s="100" t="s">
        <v>49</v>
      </c>
      <c r="J9" s="24" t="s">
        <v>333</v>
      </c>
      <c r="K9" s="119"/>
    </row>
    <row r="10" ht="50.25" customHeight="1">
      <c r="A10" s="78" t="s">
        <v>29</v>
      </c>
      <c r="B10" s="100" t="s">
        <v>334</v>
      </c>
      <c r="C10" s="101" t="s">
        <v>335</v>
      </c>
      <c r="D10" s="102" t="s">
        <v>336</v>
      </c>
      <c r="E10" s="120">
        <v>6000000.0</v>
      </c>
      <c r="F10" s="103">
        <f t="shared" si="1"/>
        <v>7140000</v>
      </c>
      <c r="G10" s="104">
        <f t="shared" si="2"/>
        <v>3369.230769</v>
      </c>
      <c r="H10" s="117">
        <f t="shared" si="3"/>
        <v>13140000</v>
      </c>
      <c r="I10" s="100" t="s">
        <v>49</v>
      </c>
      <c r="J10" s="100" t="s">
        <v>337</v>
      </c>
    </row>
    <row r="11" ht="15.0" hidden="1" customHeight="1">
      <c r="A11" s="37"/>
      <c r="B11" s="84"/>
      <c r="C11" s="84"/>
      <c r="D11" s="84"/>
      <c r="E11" s="84"/>
      <c r="F11" s="84"/>
      <c r="G11" s="121">
        <f>F11+E11</f>
        <v>0</v>
      </c>
      <c r="H11" s="84"/>
      <c r="I11" s="84"/>
      <c r="J11" s="84"/>
    </row>
    <row r="12" ht="12.75" customHeight="1">
      <c r="G12" s="122"/>
    </row>
    <row r="13" ht="138.75" customHeight="1">
      <c r="A13" s="39" t="s">
        <v>338</v>
      </c>
      <c r="B13" s="4"/>
      <c r="C13" s="4"/>
      <c r="D13" s="4"/>
      <c r="E13" s="4"/>
      <c r="F13" s="4"/>
      <c r="G13" s="4"/>
      <c r="H13" s="4"/>
      <c r="I13" s="4"/>
      <c r="J13" s="5"/>
    </row>
    <row r="14" ht="12.75" customHeight="1"/>
    <row r="15" ht="75.0" customHeight="1">
      <c r="A15" s="39" t="s">
        <v>339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5.13"/>
    <col customWidth="1" min="12" max="12" width="12.25"/>
    <col customWidth="1" min="13" max="13" width="14.63"/>
    <col customWidth="1" min="14"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62" t="s">
        <v>340</v>
      </c>
      <c r="C7" s="62" t="s">
        <v>341</v>
      </c>
      <c r="D7" s="62" t="s">
        <v>342</v>
      </c>
      <c r="E7" s="62" t="s">
        <v>343</v>
      </c>
      <c r="F7" s="63" t="s">
        <v>344</v>
      </c>
      <c r="G7" s="64" t="s">
        <v>345</v>
      </c>
      <c r="H7" s="62" t="s">
        <v>9</v>
      </c>
      <c r="I7" s="62" t="s">
        <v>346</v>
      </c>
      <c r="J7" s="62" t="s">
        <v>347</v>
      </c>
      <c r="K7" s="11" t="s">
        <v>12</v>
      </c>
      <c r="L7" s="11" t="s">
        <v>13</v>
      </c>
      <c r="M7" s="11" t="s">
        <v>14</v>
      </c>
      <c r="N7" s="11"/>
      <c r="O7" s="11"/>
      <c r="P7" s="11"/>
      <c r="Q7" s="11"/>
      <c r="R7" s="11"/>
      <c r="S7" s="11"/>
      <c r="T7" s="11"/>
      <c r="U7" s="11"/>
      <c r="V7" s="11"/>
      <c r="W7" s="11"/>
      <c r="X7" s="11"/>
      <c r="Y7" s="11"/>
      <c r="Z7" s="11"/>
    </row>
    <row r="8" ht="50.25" customHeight="1">
      <c r="A8" s="78" t="s">
        <v>15</v>
      </c>
      <c r="B8" s="24" t="s">
        <v>326</v>
      </c>
      <c r="C8" s="67" t="s">
        <v>327</v>
      </c>
      <c r="D8" s="123" t="s">
        <v>348</v>
      </c>
      <c r="E8" s="124">
        <v>300000.0</v>
      </c>
      <c r="F8" s="125">
        <f t="shared" ref="F8:F10" si="1">E8*1.19</f>
        <v>357000</v>
      </c>
      <c r="G8" s="48">
        <f t="shared" ref="G8:G10" si="2">(F8+E8)/3900</f>
        <v>168.4615385</v>
      </c>
      <c r="H8" s="126">
        <f t="shared" ref="H8:H10" si="3">G8*3900</f>
        <v>657000</v>
      </c>
      <c r="I8" s="127" t="s">
        <v>74</v>
      </c>
      <c r="J8" s="67" t="s">
        <v>349</v>
      </c>
      <c r="K8" s="51">
        <f>G9*3900</f>
        <v>438000</v>
      </c>
      <c r="L8" s="23">
        <f>AVERAGE(H8:H10)</f>
        <v>803000</v>
      </c>
      <c r="M8" s="23">
        <f>G10*3900</f>
        <v>1314000</v>
      </c>
    </row>
    <row r="9" ht="50.25" customHeight="1">
      <c r="A9" s="78" t="s">
        <v>23</v>
      </c>
      <c r="B9" s="67" t="s">
        <v>350</v>
      </c>
      <c r="C9" s="123" t="s">
        <v>351</v>
      </c>
      <c r="D9" s="67" t="s">
        <v>352</v>
      </c>
      <c r="E9" s="124">
        <v>200000.0</v>
      </c>
      <c r="F9" s="125">
        <f t="shared" si="1"/>
        <v>238000</v>
      </c>
      <c r="G9" s="48">
        <f t="shared" si="2"/>
        <v>112.3076923</v>
      </c>
      <c r="H9" s="126">
        <f t="shared" si="3"/>
        <v>438000</v>
      </c>
      <c r="I9" s="127" t="s">
        <v>74</v>
      </c>
      <c r="J9" s="128" t="s">
        <v>353</v>
      </c>
    </row>
    <row r="10" ht="50.25" customHeight="1">
      <c r="A10" s="78" t="s">
        <v>29</v>
      </c>
      <c r="B10" s="127" t="s">
        <v>354</v>
      </c>
      <c r="C10" s="101" t="s">
        <v>355</v>
      </c>
      <c r="D10" s="129" t="s">
        <v>356</v>
      </c>
      <c r="E10" s="124">
        <v>600000.0</v>
      </c>
      <c r="F10" s="125">
        <f t="shared" si="1"/>
        <v>714000</v>
      </c>
      <c r="G10" s="48">
        <f t="shared" si="2"/>
        <v>336.9230769</v>
      </c>
      <c r="H10" s="126">
        <f t="shared" si="3"/>
        <v>1314000</v>
      </c>
      <c r="I10" s="127" t="s">
        <v>74</v>
      </c>
      <c r="J10" s="128" t="s">
        <v>357</v>
      </c>
    </row>
    <row r="11" ht="15.0" hidden="1" customHeight="1">
      <c r="A11" s="37"/>
      <c r="B11" s="84"/>
      <c r="C11" s="84"/>
      <c r="D11" s="84"/>
      <c r="E11" s="84"/>
      <c r="F11" s="84"/>
      <c r="G11" s="84"/>
      <c r="H11" s="84"/>
      <c r="I11" s="84"/>
      <c r="J11" s="84"/>
    </row>
    <row r="12" ht="12.75" customHeight="1"/>
    <row r="13" ht="138.75" customHeight="1">
      <c r="A13" s="39" t="s">
        <v>358</v>
      </c>
      <c r="B13" s="4"/>
      <c r="C13" s="4"/>
      <c r="D13" s="4"/>
      <c r="E13" s="4"/>
      <c r="F13" s="4"/>
      <c r="G13" s="4"/>
      <c r="H13" s="4"/>
      <c r="I13" s="4"/>
      <c r="J13" s="5"/>
    </row>
    <row r="14" ht="12.75" customHeight="1"/>
    <row r="15" ht="75.0" customHeight="1">
      <c r="A15" s="39" t="s">
        <v>359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15.13"/>
    <col customWidth="1" min="12" max="12" width="12.25"/>
    <col customWidth="1" min="13" max="13" width="14.63"/>
    <col customWidth="1" min="14"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62" t="s">
        <v>360</v>
      </c>
      <c r="C7" s="62" t="s">
        <v>361</v>
      </c>
      <c r="D7" s="62" t="s">
        <v>362</v>
      </c>
      <c r="E7" s="62" t="s">
        <v>363</v>
      </c>
      <c r="F7" s="63" t="s">
        <v>364</v>
      </c>
      <c r="G7" s="64" t="s">
        <v>365</v>
      </c>
      <c r="H7" s="62" t="s">
        <v>9</v>
      </c>
      <c r="I7" s="62" t="s">
        <v>366</v>
      </c>
      <c r="J7" s="62" t="s">
        <v>367</v>
      </c>
      <c r="K7" s="11" t="s">
        <v>12</v>
      </c>
      <c r="L7" s="11" t="s">
        <v>13</v>
      </c>
      <c r="M7" s="11" t="s">
        <v>14</v>
      </c>
      <c r="N7" s="11"/>
      <c r="O7" s="11"/>
      <c r="P7" s="11"/>
      <c r="Q7" s="11"/>
      <c r="R7" s="11"/>
      <c r="S7" s="11"/>
      <c r="T7" s="11"/>
      <c r="U7" s="11"/>
      <c r="V7" s="11"/>
      <c r="W7" s="11"/>
      <c r="X7" s="11"/>
      <c r="Y7" s="11"/>
      <c r="Z7" s="11"/>
    </row>
    <row r="8" ht="50.25" customHeight="1">
      <c r="A8" s="78" t="s">
        <v>15</v>
      </c>
      <c r="B8" s="67" t="s">
        <v>326</v>
      </c>
      <c r="C8" s="67" t="s">
        <v>327</v>
      </c>
      <c r="D8" s="123" t="s">
        <v>368</v>
      </c>
      <c r="E8" s="130">
        <v>300000.0</v>
      </c>
      <c r="F8" s="130">
        <f t="shared" ref="F8:F10" si="1">E8*1.19</f>
        <v>357000</v>
      </c>
      <c r="G8" s="48">
        <f t="shared" ref="G8:G10" si="2">(F8+E8)/3900</f>
        <v>168.4615385</v>
      </c>
      <c r="H8" s="131">
        <f t="shared" ref="H8:H10" si="3">G8*3900</f>
        <v>657000</v>
      </c>
      <c r="I8" s="100" t="s">
        <v>369</v>
      </c>
      <c r="J8" s="67" t="s">
        <v>349</v>
      </c>
      <c r="K8" s="51">
        <f>G9*3900</f>
        <v>438000</v>
      </c>
      <c r="L8" s="23">
        <f>AVERAGE(H8:H10)</f>
        <v>876000</v>
      </c>
      <c r="M8" s="23">
        <f>G10*3900</f>
        <v>1533000</v>
      </c>
    </row>
    <row r="9" ht="50.25" customHeight="1">
      <c r="A9" s="78" t="s">
        <v>23</v>
      </c>
      <c r="B9" s="67" t="s">
        <v>350</v>
      </c>
      <c r="C9" s="123" t="s">
        <v>351</v>
      </c>
      <c r="D9" s="67" t="s">
        <v>370</v>
      </c>
      <c r="E9" s="130">
        <v>200000.0</v>
      </c>
      <c r="F9" s="130">
        <f t="shared" si="1"/>
        <v>238000</v>
      </c>
      <c r="G9" s="48">
        <f t="shared" si="2"/>
        <v>112.3076923</v>
      </c>
      <c r="H9" s="131">
        <f t="shared" si="3"/>
        <v>438000</v>
      </c>
      <c r="I9" s="100" t="s">
        <v>369</v>
      </c>
      <c r="J9" s="67" t="s">
        <v>353</v>
      </c>
    </row>
    <row r="10" ht="50.25" customHeight="1">
      <c r="A10" s="78" t="s">
        <v>29</v>
      </c>
      <c r="B10" s="100" t="s">
        <v>354</v>
      </c>
      <c r="C10" s="116" t="s">
        <v>371</v>
      </c>
      <c r="D10" s="102" t="s">
        <v>372</v>
      </c>
      <c r="E10" s="95">
        <v>700000.0</v>
      </c>
      <c r="F10" s="130">
        <f t="shared" si="1"/>
        <v>833000</v>
      </c>
      <c r="G10" s="48">
        <f t="shared" si="2"/>
        <v>393.0769231</v>
      </c>
      <c r="H10" s="131">
        <f t="shared" si="3"/>
        <v>1533000</v>
      </c>
      <c r="I10" s="100" t="s">
        <v>369</v>
      </c>
      <c r="J10" s="132" t="s">
        <v>357</v>
      </c>
    </row>
    <row r="11" ht="15.0" hidden="1" customHeight="1">
      <c r="A11" s="37"/>
      <c r="B11" s="84"/>
      <c r="C11" s="116" t="s">
        <v>373</v>
      </c>
      <c r="D11" s="84"/>
      <c r="E11" s="84"/>
      <c r="F11" s="84"/>
      <c r="G11" s="84"/>
      <c r="H11" s="84"/>
      <c r="I11" s="84"/>
      <c r="J11" s="84"/>
    </row>
    <row r="12" ht="12.75" customHeight="1"/>
    <row r="13">
      <c r="A13" s="39"/>
      <c r="B13" s="4"/>
      <c r="C13" s="4"/>
      <c r="D13" s="4"/>
      <c r="E13" s="4"/>
      <c r="F13" s="4"/>
      <c r="G13" s="4"/>
      <c r="H13" s="4"/>
      <c r="I13" s="4"/>
      <c r="J13" s="5"/>
    </row>
    <row r="14" ht="12.75" customHeight="1"/>
    <row r="15">
      <c r="A15" s="39"/>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25"/>
    <col customWidth="1" min="2" max="2" width="30.88"/>
    <col customWidth="1" min="3" max="26" width="10.63"/>
  </cols>
  <sheetData>
    <row r="1" ht="12.75" customHeight="1"/>
    <row r="2" ht="12.75" customHeight="1">
      <c r="A2" s="24" t="s">
        <v>374</v>
      </c>
    </row>
    <row r="3" ht="12.75" customHeight="1">
      <c r="A3" s="133" t="s">
        <v>375</v>
      </c>
    </row>
    <row r="4" ht="12.75" customHeight="1"/>
    <row r="5" ht="12.75" customHeight="1"/>
    <row r="6" ht="12.75" customHeight="1">
      <c r="A6" s="24">
        <v>3.0</v>
      </c>
    </row>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2010-11-08T17:12:41Z</dcterms:created>
  <dc:creator>Administrador</dc:creator>
</cp:coreProperties>
</file>